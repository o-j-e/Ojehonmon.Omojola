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tor\Documents\"/>
    </mc:Choice>
  </mc:AlternateContent>
  <bookViews>
    <workbookView xWindow="290" yWindow="1580" windowWidth="22750" windowHeight="10660" tabRatio="790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ContinuousTimeStatsByRep!$A$1:$L$46</definedName>
    <definedName name="ExternalData_1" localSheetId="4" hidden="1">CounterStatsByRep!$A$1:$G$2</definedName>
    <definedName name="ExternalData_1" localSheetId="2" hidden="1">DiscreteTimeStatsByRep!$A$1:$K$2</definedName>
    <definedName name="ExternalData_1" localSheetId="6" hidden="1">FrequencyStatsByRep!$A$1:$K$2</definedName>
    <definedName name="ExternalData_1" localSheetId="5" hidden="1">OutputStatsByRep!$A$1:$H$36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130" r:id="rId8"/>
    <pivotCache cacheId="136" r:id="rId9"/>
    <pivotCache cacheId="142" r:id="rId10"/>
    <pivotCache cacheId="148" r:id="rId11"/>
    <pivotCache cacheId="15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P15" i="20" s="1" a="1"/>
  <c r="P15" i="20" s="1"/>
  <c r="I16" i="20"/>
  <c r="I17" i="20"/>
  <c r="O17" i="20" s="1" a="1"/>
  <c r="O17" i="20" s="1"/>
  <c r="I18" i="20"/>
  <c r="I19" i="20"/>
  <c r="K19" i="20" s="1" a="1"/>
  <c r="K19" i="20" s="1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L33" i="20" s="1" a="1"/>
  <c r="L33" i="20" s="1"/>
  <c r="N33" i="20" s="1"/>
  <c r="I34" i="20"/>
  <c r="I35" i="20"/>
  <c r="I36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 s="1"/>
  <c r="J9" i="20" a="1"/>
  <c r="J9" i="20"/>
  <c r="J10" i="20" a="1"/>
  <c r="J10" i="20"/>
  <c r="J11" i="20" a="1"/>
  <c r="J11" i="20"/>
  <c r="J12" i="20" a="1"/>
  <c r="J12" i="20"/>
  <c r="J13" i="20" a="1"/>
  <c r="J13" i="20"/>
  <c r="J14" i="20" a="1"/>
  <c r="J14" i="20"/>
  <c r="J15" i="20" a="1"/>
  <c r="J15" i="20"/>
  <c r="J16" i="20" a="1"/>
  <c r="J16" i="20" s="1"/>
  <c r="J17" i="20" a="1"/>
  <c r="J17" i="20" s="1"/>
  <c r="J18" i="20" a="1"/>
  <c r="J18" i="20" s="1"/>
  <c r="J19" i="20" a="1"/>
  <c r="J19" i="20"/>
  <c r="J20" i="20" a="1"/>
  <c r="J20" i="20"/>
  <c r="J21" i="20" a="1"/>
  <c r="J21" i="20"/>
  <c r="J22" i="20" a="1"/>
  <c r="J22" i="20"/>
  <c r="J23" i="20" a="1"/>
  <c r="J23" i="20"/>
  <c r="J24" i="20" a="1"/>
  <c r="J24" i="20" s="1"/>
  <c r="J25" i="20" a="1"/>
  <c r="J25" i="20"/>
  <c r="J26" i="20" a="1"/>
  <c r="J26" i="20"/>
  <c r="J27" i="20" a="1"/>
  <c r="J27" i="20"/>
  <c r="J28" i="20" a="1"/>
  <c r="J28" i="20"/>
  <c r="J29" i="20" a="1"/>
  <c r="J29" i="20"/>
  <c r="J30" i="20" a="1"/>
  <c r="J30" i="20"/>
  <c r="J31" i="20" a="1"/>
  <c r="J31" i="20"/>
  <c r="J32" i="20" a="1"/>
  <c r="J32" i="20" s="1"/>
  <c r="J33" i="20" a="1"/>
  <c r="J33" i="20"/>
  <c r="J34" i="20" a="1"/>
  <c r="J34" i="20" s="1"/>
  <c r="J35" i="20" a="1"/>
  <c r="J35" i="20" s="1"/>
  <c r="J36" i="20" a="1"/>
  <c r="J36" i="20"/>
  <c r="M2" i="20" a="1"/>
  <c r="M2" i="20"/>
  <c r="M3" i="20" a="1"/>
  <c r="M3" i="20"/>
  <c r="M4" i="20" a="1"/>
  <c r="M4" i="20"/>
  <c r="M5" i="20" a="1"/>
  <c r="M5" i="20"/>
  <c r="M6" i="20" a="1"/>
  <c r="M6" i="20" s="1"/>
  <c r="M7" i="20" a="1"/>
  <c r="M7" i="20" s="1"/>
  <c r="M8" i="20" a="1"/>
  <c r="M8" i="20" s="1"/>
  <c r="M9" i="20" a="1"/>
  <c r="M9" i="20"/>
  <c r="M10" i="20" a="1"/>
  <c r="M10" i="20"/>
  <c r="M11" i="20" a="1"/>
  <c r="M11" i="20"/>
  <c r="M12" i="20" a="1"/>
  <c r="M12" i="20"/>
  <c r="M13" i="20" a="1"/>
  <c r="M13" i="20"/>
  <c r="M14" i="20" a="1"/>
  <c r="M14" i="20"/>
  <c r="M15" i="20" a="1"/>
  <c r="M15" i="20" s="1"/>
  <c r="M16" i="20" a="1"/>
  <c r="M16" i="20" s="1"/>
  <c r="M17" i="20" a="1"/>
  <c r="M17" i="20" s="1"/>
  <c r="M18" i="20" a="1"/>
  <c r="M18" i="20"/>
  <c r="M19" i="20" a="1"/>
  <c r="M19" i="20"/>
  <c r="M20" i="20" a="1"/>
  <c r="M20" i="20"/>
  <c r="M21" i="20" a="1"/>
  <c r="M21" i="20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7" i="20" a="1"/>
  <c r="M27" i="20"/>
  <c r="M28" i="20" a="1"/>
  <c r="M28" i="20"/>
  <c r="M29" i="20" a="1"/>
  <c r="M29" i="20"/>
  <c r="M30" i="20" a="1"/>
  <c r="M30" i="20"/>
  <c r="M31" i="20" a="1"/>
  <c r="M31" i="20" s="1"/>
  <c r="M32" i="20" a="1"/>
  <c r="M32" i="20" s="1"/>
  <c r="M33" i="20" a="1"/>
  <c r="M33" i="20"/>
  <c r="M34" i="20" a="1"/>
  <c r="M34" i="20" s="1"/>
  <c r="M35" i="20" a="1"/>
  <c r="M35" i="20" s="1"/>
  <c r="M36" i="20" a="1"/>
  <c r="M36" i="20"/>
  <c r="M2" i="18"/>
  <c r="P39" i="18" s="1" a="1"/>
  <c r="P39" i="18" s="1"/>
  <c r="M3" i="18"/>
  <c r="M4" i="18"/>
  <c r="M5" i="18"/>
  <c r="M6" i="18"/>
  <c r="S6" i="18" s="1" a="1"/>
  <c r="S6" i="18" s="1"/>
  <c r="M7" i="18"/>
  <c r="M8" i="18"/>
  <c r="M9" i="18"/>
  <c r="M10" i="18"/>
  <c r="M11" i="18"/>
  <c r="M12" i="18"/>
  <c r="M13" i="18"/>
  <c r="T13" i="18" s="1" a="1"/>
  <c r="T13" i="18" s="1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N2" i="18" a="1"/>
  <c r="N2" i="18"/>
  <c r="N3" i="18" a="1"/>
  <c r="N3" i="18" s="1"/>
  <c r="N4" i="18" a="1"/>
  <c r="N4" i="18" s="1"/>
  <c r="N5" i="18" a="1"/>
  <c r="N5" i="18"/>
  <c r="N6" i="18" a="1"/>
  <c r="N6" i="18" s="1"/>
  <c r="N7" i="18" a="1"/>
  <c r="N7" i="18"/>
  <c r="N8" i="18" a="1"/>
  <c r="N8" i="18"/>
  <c r="N9" i="18" a="1"/>
  <c r="N9" i="18"/>
  <c r="N10" i="18" a="1"/>
  <c r="N10" i="18"/>
  <c r="N11" i="18" a="1"/>
  <c r="N11" i="18" s="1"/>
  <c r="N12" i="18" a="1"/>
  <c r="N12" i="18" s="1"/>
  <c r="N13" i="18" a="1"/>
  <c r="N13" i="18" s="1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 s="1"/>
  <c r="N20" i="18" a="1"/>
  <c r="N20" i="18"/>
  <c r="N21" i="18" a="1"/>
  <c r="N21" i="18" s="1"/>
  <c r="N22" i="18" a="1"/>
  <c r="N22" i="18"/>
  <c r="N23" i="18" a="1"/>
  <c r="N23" i="18" s="1"/>
  <c r="N24" i="18" a="1"/>
  <c r="N24" i="18"/>
  <c r="N25" i="18" a="1"/>
  <c r="N25" i="18"/>
  <c r="N26" i="18" a="1"/>
  <c r="N26" i="18"/>
  <c r="N27" i="18" a="1"/>
  <c r="N27" i="18" s="1"/>
  <c r="N28" i="18" a="1"/>
  <c r="N28" i="18"/>
  <c r="N29" i="18" a="1"/>
  <c r="N29" i="18" s="1"/>
  <c r="N30" i="18" a="1"/>
  <c r="N30" i="18" s="1"/>
  <c r="N31" i="18" a="1"/>
  <c r="N31" i="18" s="1"/>
  <c r="N32" i="18" a="1"/>
  <c r="N32" i="18" s="1"/>
  <c r="N33" i="18" a="1"/>
  <c r="N33" i="18"/>
  <c r="N34" i="18" a="1"/>
  <c r="N34" i="18"/>
  <c r="N35" i="18" a="1"/>
  <c r="N35" i="18" s="1"/>
  <c r="N36" i="18" a="1"/>
  <c r="N36" i="18"/>
  <c r="N37" i="18" a="1"/>
  <c r="N37" i="18"/>
  <c r="N38" i="18" a="1"/>
  <c r="N38" i="18" s="1"/>
  <c r="N39" i="18" a="1"/>
  <c r="N39" i="18" s="1"/>
  <c r="N40" i="18" a="1"/>
  <c r="N40" i="18"/>
  <c r="N41" i="18" a="1"/>
  <c r="N41" i="18" s="1"/>
  <c r="N42" i="18" a="1"/>
  <c r="N42" i="18"/>
  <c r="N43" i="18" a="1"/>
  <c r="N43" i="18" s="1"/>
  <c r="N44" i="18" a="1"/>
  <c r="N44" i="18"/>
  <c r="N45" i="18" a="1"/>
  <c r="N45" i="18"/>
  <c r="N46" i="18" a="1"/>
  <c r="N46" i="18"/>
  <c r="P9" i="18" a="1"/>
  <c r="P9" i="18" s="1"/>
  <c r="Q2" i="18" a="1"/>
  <c r="Q2" i="18"/>
  <c r="Q3" i="18" a="1"/>
  <c r="Q3" i="18" s="1"/>
  <c r="Q4" i="18" a="1"/>
  <c r="Q4" i="18" s="1"/>
  <c r="Q5" i="18" a="1"/>
  <c r="Q5" i="18"/>
  <c r="Q6" i="18" a="1"/>
  <c r="Q6" i="18" s="1"/>
  <c r="Q7" i="18" a="1"/>
  <c r="Q7" i="18" s="1"/>
  <c r="Q8" i="18" a="1"/>
  <c r="Q8" i="18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 s="1"/>
  <c r="Q16" i="18" a="1"/>
  <c r="Q16" i="18"/>
  <c r="Q17" i="18" a="1"/>
  <c r="Q17" i="18" s="1"/>
  <c r="Q18" i="18" a="1"/>
  <c r="Q18" i="18" s="1"/>
  <c r="Q19" i="18" a="1"/>
  <c r="Q19" i="18"/>
  <c r="Q20" i="18" a="1"/>
  <c r="Q20" i="18" s="1"/>
  <c r="Q21" i="18" a="1"/>
  <c r="Q21" i="18"/>
  <c r="Q22" i="18" a="1"/>
  <c r="Q22" i="18" s="1"/>
  <c r="Q23" i="18" a="1"/>
  <c r="Q23" i="18" s="1"/>
  <c r="Q24" i="18" a="1"/>
  <c r="Q24" i="18" s="1"/>
  <c r="Q25" i="18" a="1"/>
  <c r="Q25" i="18"/>
  <c r="Q26" i="18" a="1"/>
  <c r="Q26" i="18" s="1"/>
  <c r="Q27" i="18" a="1"/>
  <c r="Q27" i="18"/>
  <c r="Q28" i="18" a="1"/>
  <c r="Q28" i="18" s="1"/>
  <c r="Q29" i="18" a="1"/>
  <c r="Q29" i="18"/>
  <c r="Q30" i="18" a="1"/>
  <c r="Q30" i="18" s="1"/>
  <c r="Q31" i="18" a="1"/>
  <c r="Q31" i="18" s="1"/>
  <c r="Q32" i="18" a="1"/>
  <c r="Q32" i="18"/>
  <c r="Q33" i="18" a="1"/>
  <c r="Q33" i="18" s="1"/>
  <c r="Q34" i="18" a="1"/>
  <c r="Q34" i="18" s="1"/>
  <c r="Q35" i="18" a="1"/>
  <c r="Q35" i="18"/>
  <c r="Q36" i="18" a="1"/>
  <c r="Q36" i="18" s="1"/>
  <c r="Q37" i="18" a="1"/>
  <c r="Q37" i="18"/>
  <c r="Q38" i="18" a="1"/>
  <c r="Q38" i="18" s="1"/>
  <c r="Q39" i="18" a="1"/>
  <c r="Q39" i="18" s="1"/>
  <c r="Q40" i="18" a="1"/>
  <c r="Q40" i="18" s="1"/>
  <c r="Q41" i="18" a="1"/>
  <c r="Q41" i="18"/>
  <c r="Q42" i="18" a="1"/>
  <c r="Q42" i="18"/>
  <c r="Q43" i="18" a="1"/>
  <c r="Q43" i="18" s="1"/>
  <c r="Q44" i="18" a="1"/>
  <c r="Q44" i="18" s="1"/>
  <c r="Q45" i="18" a="1"/>
  <c r="Q45" i="18"/>
  <c r="Q46" i="18" a="1"/>
  <c r="Q46" i="18" s="1"/>
  <c r="G2" i="16"/>
  <c r="O2" i="20" l="1" a="1"/>
  <c r="O2" i="20" s="1"/>
  <c r="L32" i="20" a="1"/>
  <c r="L32" i="20" s="1"/>
  <c r="O25" i="20" a="1"/>
  <c r="O25" i="20" s="1"/>
  <c r="O32" i="20" a="1"/>
  <c r="O32" i="20" s="1"/>
  <c r="K12" i="20" a="1"/>
  <c r="K12" i="20" s="1"/>
  <c r="K20" i="20" a="1"/>
  <c r="K20" i="20" s="1"/>
  <c r="O26" i="20" a="1"/>
  <c r="O26" i="20" s="1"/>
  <c r="N25" i="20"/>
  <c r="O28" i="20" a="1"/>
  <c r="O28" i="20" s="1"/>
  <c r="O24" i="20" a="1"/>
  <c r="O24" i="20" s="1"/>
  <c r="O11" i="20" a="1"/>
  <c r="O11" i="20" s="1"/>
  <c r="K25" i="20" a="1"/>
  <c r="K25" i="20" s="1"/>
  <c r="O18" i="20" a="1"/>
  <c r="O18" i="20" s="1"/>
  <c r="N29" i="20"/>
  <c r="O6" i="20" a="1"/>
  <c r="O6" i="20" s="1"/>
  <c r="P24" i="20" a="1"/>
  <c r="P24" i="20" s="1"/>
  <c r="P5" i="20" a="1"/>
  <c r="P5" i="20" s="1"/>
  <c r="K3" i="20" a="1"/>
  <c r="K3" i="20" s="1"/>
  <c r="K23" i="20" a="1"/>
  <c r="K23" i="20" s="1"/>
  <c r="K22" i="20" a="1"/>
  <c r="K22" i="20" s="1"/>
  <c r="K21" i="20" a="1"/>
  <c r="K21" i="20" s="1"/>
  <c r="N10" i="20"/>
  <c r="P33" i="20" a="1"/>
  <c r="P33" i="20" s="1"/>
  <c r="K33" i="20" a="1"/>
  <c r="K33" i="20" s="1"/>
  <c r="P17" i="20" a="1"/>
  <c r="P17" i="20" s="1"/>
  <c r="K17" i="20" a="1"/>
  <c r="K17" i="20" s="1"/>
  <c r="K13" i="20" a="1"/>
  <c r="K13" i="20" s="1"/>
  <c r="P32" i="20" a="1"/>
  <c r="P32" i="20" s="1"/>
  <c r="K32" i="20" a="1"/>
  <c r="K32" i="20" s="1"/>
  <c r="P16" i="20" a="1"/>
  <c r="P16" i="20" s="1"/>
  <c r="K16" i="20" a="1"/>
  <c r="K16" i="20" s="1"/>
  <c r="O16" i="20" a="1"/>
  <c r="O16" i="20" s="1"/>
  <c r="K15" i="20" a="1"/>
  <c r="K15" i="20" s="1"/>
  <c r="O15" i="20" a="1"/>
  <c r="O15" i="20" s="1"/>
  <c r="L15" i="20" a="1"/>
  <c r="L15" i="20" s="1"/>
  <c r="N15" i="20" s="1"/>
  <c r="N32" i="20"/>
  <c r="O29" i="20" a="1"/>
  <c r="O29" i="20" s="1"/>
  <c r="L29" i="20" a="1"/>
  <c r="L29" i="20" s="1"/>
  <c r="K11" i="20" a="1"/>
  <c r="K11" i="20" s="1"/>
  <c r="P7" i="20" a="1"/>
  <c r="P7" i="20" s="1"/>
  <c r="K5" i="20" a="1"/>
  <c r="K5" i="20" s="1"/>
  <c r="K29" i="20" a="1"/>
  <c r="K29" i="20" s="1"/>
  <c r="K28" i="20" a="1"/>
  <c r="K28" i="20" s="1"/>
  <c r="L17" i="20" a="1"/>
  <c r="L17" i="20" s="1"/>
  <c r="N17" i="20" s="1"/>
  <c r="O19" i="20" a="1"/>
  <c r="O19" i="20" s="1"/>
  <c r="O3" i="20" a="1"/>
  <c r="O3" i="20" s="1"/>
  <c r="O10" i="20" a="1"/>
  <c r="O10" i="20" s="1"/>
  <c r="L10" i="20" a="1"/>
  <c r="L10" i="20" s="1"/>
  <c r="L8" i="20" a="1"/>
  <c r="L8" i="20" s="1"/>
  <c r="N8" i="20" s="1"/>
  <c r="P14" i="20" a="1"/>
  <c r="P14" i="20" s="1"/>
  <c r="L2" i="20" a="1"/>
  <c r="L2" i="20" s="1"/>
  <c r="N2" i="20" s="1"/>
  <c r="K31" i="20" a="1"/>
  <c r="K31" i="20" s="1"/>
  <c r="O31" i="20" a="1"/>
  <c r="O31" i="20" s="1"/>
  <c r="L31" i="20" a="1"/>
  <c r="L31" i="20" s="1"/>
  <c r="N31" i="20" s="1"/>
  <c r="L26" i="20" a="1"/>
  <c r="L26" i="20" s="1"/>
  <c r="N26" i="20" s="1"/>
  <c r="K30" i="20" a="1"/>
  <c r="K30" i="20" s="1"/>
  <c r="L30" i="20" a="1"/>
  <c r="L30" i="20" s="1"/>
  <c r="N30" i="20" s="1"/>
  <c r="O30" i="20" a="1"/>
  <c r="O30" i="20" s="1"/>
  <c r="K14" i="20" a="1"/>
  <c r="K14" i="20" s="1"/>
  <c r="O14" i="20" a="1"/>
  <c r="O14" i="20" s="1"/>
  <c r="L14" i="20" a="1"/>
  <c r="L14" i="20" s="1"/>
  <c r="N14" i="20" s="1"/>
  <c r="P31" i="20" a="1"/>
  <c r="P31" i="20" s="1"/>
  <c r="L25" i="20" a="1"/>
  <c r="L25" i="20" s="1"/>
  <c r="P30" i="20" a="1"/>
  <c r="P30" i="20" s="1"/>
  <c r="K35" i="20" a="1"/>
  <c r="K35" i="20" s="1"/>
  <c r="O27" i="20" a="1"/>
  <c r="O27" i="20" s="1"/>
  <c r="P26" i="20" a="1"/>
  <c r="P26" i="20" s="1"/>
  <c r="P29" i="20" a="1"/>
  <c r="P29" i="20" s="1"/>
  <c r="K4" i="20" a="1"/>
  <c r="K4" i="20" s="1"/>
  <c r="P23" i="20" a="1"/>
  <c r="P23" i="20" s="1"/>
  <c r="P22" i="20" a="1"/>
  <c r="P22" i="20" s="1"/>
  <c r="P21" i="20" a="1"/>
  <c r="P21" i="20" s="1"/>
  <c r="O33" i="20" a="1"/>
  <c r="O33" i="20" s="1"/>
  <c r="L34" i="20" a="1"/>
  <c r="L34" i="20" s="1"/>
  <c r="N34" i="20" s="1"/>
  <c r="P13" i="20" a="1"/>
  <c r="P13" i="20" s="1"/>
  <c r="K36" i="20" a="1"/>
  <c r="K36" i="20" s="1"/>
  <c r="L13" i="20" a="1"/>
  <c r="L13" i="20" s="1"/>
  <c r="N13" i="20" s="1"/>
  <c r="O13" i="20" a="1"/>
  <c r="O13" i="20" s="1"/>
  <c r="O8" i="20" a="1"/>
  <c r="O8" i="20" s="1"/>
  <c r="K18" i="20" a="1"/>
  <c r="K18" i="20" s="1"/>
  <c r="L24" i="20" a="1"/>
  <c r="L24" i="20" s="1"/>
  <c r="N24" i="20" s="1"/>
  <c r="P6" i="20" a="1"/>
  <c r="P6" i="20" s="1"/>
  <c r="L18" i="20" a="1"/>
  <c r="L18" i="20" s="1"/>
  <c r="N18" i="20" s="1"/>
  <c r="P25" i="20" a="1"/>
  <c r="P25" i="20" s="1"/>
  <c r="P8" i="20" a="1"/>
  <c r="P8" i="20" s="1"/>
  <c r="K27" i="20" a="1"/>
  <c r="K27" i="20" s="1"/>
  <c r="O34" i="20" a="1"/>
  <c r="O34" i="20" s="1"/>
  <c r="L16" i="20" a="1"/>
  <c r="L16" i="20" s="1"/>
  <c r="N16" i="20" s="1"/>
  <c r="O9" i="20" a="1"/>
  <c r="O9" i="20" s="1"/>
  <c r="L9" i="20" a="1"/>
  <c r="L9" i="20" s="1"/>
  <c r="N9" i="20" s="1"/>
  <c r="L3" i="20" a="1"/>
  <c r="L3" i="20" s="1"/>
  <c r="N3" i="20" s="1"/>
  <c r="L23" i="20" a="1"/>
  <c r="L23" i="20" s="1"/>
  <c r="N23" i="20" s="1"/>
  <c r="K34" i="20" a="1"/>
  <c r="K34" i="20" s="1"/>
  <c r="K2" i="20" a="1"/>
  <c r="K2" i="20" s="1"/>
  <c r="P28" i="20" a="1"/>
  <c r="P28" i="20" s="1"/>
  <c r="P12" i="20" a="1"/>
  <c r="P12" i="20" s="1"/>
  <c r="O23" i="20" a="1"/>
  <c r="O23" i="20" s="1"/>
  <c r="L6" i="20" a="1"/>
  <c r="L6" i="20" s="1"/>
  <c r="N6" i="20" s="1"/>
  <c r="P19" i="20" a="1"/>
  <c r="P19" i="20" s="1"/>
  <c r="P11" i="20" a="1"/>
  <c r="P11" i="20" s="1"/>
  <c r="L7" i="20" a="1"/>
  <c r="L7" i="20" s="1"/>
  <c r="N7" i="20" s="1"/>
  <c r="K10" i="20" a="1"/>
  <c r="K10" i="20" s="1"/>
  <c r="P4" i="20" a="1"/>
  <c r="P4" i="20" s="1"/>
  <c r="K9" i="20" a="1"/>
  <c r="K9" i="20" s="1"/>
  <c r="P3" i="20" a="1"/>
  <c r="P3" i="20" s="1"/>
  <c r="L21" i="20" a="1"/>
  <c r="L21" i="20" s="1"/>
  <c r="N21" i="20" s="1"/>
  <c r="K8" i="20" a="1"/>
  <c r="K8" i="20" s="1"/>
  <c r="P34" i="20" a="1"/>
  <c r="P34" i="20" s="1"/>
  <c r="P2" i="20" a="1"/>
  <c r="P2" i="20" s="1"/>
  <c r="O21" i="20" a="1"/>
  <c r="O21" i="20" s="1"/>
  <c r="L36" i="20" a="1"/>
  <c r="L36" i="20" s="1"/>
  <c r="N36" i="20" s="1"/>
  <c r="L28" i="20" a="1"/>
  <c r="L28" i="20" s="1"/>
  <c r="N28" i="20" s="1"/>
  <c r="L4" i="20" a="1"/>
  <c r="L4" i="20" s="1"/>
  <c r="N4" i="20" s="1"/>
  <c r="K7" i="20" a="1"/>
  <c r="K7" i="20" s="1"/>
  <c r="P9" i="20" a="1"/>
  <c r="P9" i="20" s="1"/>
  <c r="O36" i="20" a="1"/>
  <c r="O36" i="20" s="1"/>
  <c r="O20" i="20" a="1"/>
  <c r="O20" i="20" s="1"/>
  <c r="O12" i="20" a="1"/>
  <c r="O12" i="20" s="1"/>
  <c r="O4" i="20" a="1"/>
  <c r="O4" i="20" s="1"/>
  <c r="K26" i="20" a="1"/>
  <c r="K26" i="20" s="1"/>
  <c r="P20" i="20" a="1"/>
  <c r="P20" i="20" s="1"/>
  <c r="P35" i="20" a="1"/>
  <c r="P35" i="20" s="1"/>
  <c r="O22" i="20" a="1"/>
  <c r="O22" i="20" s="1"/>
  <c r="L5" i="20" a="1"/>
  <c r="L5" i="20" s="1"/>
  <c r="N5" i="20" s="1"/>
  <c r="K24" i="20" a="1"/>
  <c r="K24" i="20" s="1"/>
  <c r="P18" i="20" a="1"/>
  <c r="P18" i="20" s="1"/>
  <c r="P10" i="20" a="1"/>
  <c r="P10" i="20" s="1"/>
  <c r="O5" i="20" a="1"/>
  <c r="O5" i="20" s="1"/>
  <c r="L20" i="20" a="1"/>
  <c r="L20" i="20" s="1"/>
  <c r="N20" i="20" s="1"/>
  <c r="L12" i="20" a="1"/>
  <c r="L12" i="20" s="1"/>
  <c r="N12" i="20" s="1"/>
  <c r="L35" i="20" a="1"/>
  <c r="L35" i="20" s="1"/>
  <c r="N35" i="20" s="1"/>
  <c r="L27" i="20" a="1"/>
  <c r="L27" i="20" s="1"/>
  <c r="N27" i="20" s="1"/>
  <c r="L19" i="20" a="1"/>
  <c r="L19" i="20" s="1"/>
  <c r="N19" i="20" s="1"/>
  <c r="L11" i="20" a="1"/>
  <c r="L11" i="20" s="1"/>
  <c r="N11" i="20" s="1"/>
  <c r="K6" i="20" a="1"/>
  <c r="K6" i="20" s="1"/>
  <c r="P36" i="20" a="1"/>
  <c r="P36" i="20" s="1"/>
  <c r="O7" i="20" a="1"/>
  <c r="O7" i="20" s="1"/>
  <c r="L22" i="20" a="1"/>
  <c r="L22" i="20" s="1"/>
  <c r="N22" i="20" s="1"/>
  <c r="P27" i="20" a="1"/>
  <c r="P27" i="20" s="1"/>
  <c r="O35" i="20" a="1"/>
  <c r="O35" i="20" s="1"/>
  <c r="P32" i="18" a="1"/>
  <c r="P32" i="18" s="1"/>
  <c r="O29" i="18" a="1"/>
  <c r="O29" i="18" s="1"/>
  <c r="T25" i="18" a="1"/>
  <c r="T25" i="18" s="1"/>
  <c r="S21" i="18" a="1"/>
  <c r="S21" i="18" s="1"/>
  <c r="O46" i="18" a="1"/>
  <c r="O46" i="18" s="1"/>
  <c r="T27" i="18" a="1"/>
  <c r="T27" i="18" s="1"/>
  <c r="S15" i="18" a="1"/>
  <c r="S15" i="18" s="1"/>
  <c r="O45" i="18" a="1"/>
  <c r="O45" i="18" s="1"/>
  <c r="S31" i="18" a="1"/>
  <c r="S31" i="18" s="1"/>
  <c r="O13" i="18" a="1"/>
  <c r="O13" i="18" s="1"/>
  <c r="O5" i="18" a="1"/>
  <c r="O5" i="18" s="1"/>
  <c r="S39" i="18" a="1"/>
  <c r="S39" i="18" s="1"/>
  <c r="P22" i="18" a="1"/>
  <c r="P22" i="18" s="1"/>
  <c r="R22" i="18" s="1"/>
  <c r="U22" i="18" s="1"/>
  <c r="S16" i="18" a="1"/>
  <c r="S16" i="18" s="1"/>
  <c r="P24" i="18" a="1"/>
  <c r="P24" i="18" s="1"/>
  <c r="R24" i="18" s="1"/>
  <c r="U24" i="18" s="1"/>
  <c r="R4" i="18"/>
  <c r="U4" i="18" s="1"/>
  <c r="R39" i="18"/>
  <c r="U39" i="18" s="1"/>
  <c r="S33" i="18" a="1"/>
  <c r="S33" i="18" s="1"/>
  <c r="O33" i="18" a="1"/>
  <c r="O33" i="18" s="1"/>
  <c r="S17" i="18" a="1"/>
  <c r="S17" i="18" s="1"/>
  <c r="O17" i="18" a="1"/>
  <c r="O17" i="18" s="1"/>
  <c r="O42" i="18" a="1"/>
  <c r="O42" i="18" s="1"/>
  <c r="O38" i="18" a="1"/>
  <c r="O38" i="18" s="1"/>
  <c r="S45" i="18" a="1"/>
  <c r="S45" i="18" s="1"/>
  <c r="T30" i="18" a="1"/>
  <c r="T30" i="18" s="1"/>
  <c r="T10" i="18" a="1"/>
  <c r="T10" i="18" s="1"/>
  <c r="O37" i="18" a="1"/>
  <c r="O37" i="18" s="1"/>
  <c r="T33" i="18" a="1"/>
  <c r="T33" i="18" s="1"/>
  <c r="S30" i="18" a="1"/>
  <c r="S30" i="18" s="1"/>
  <c r="T44" i="18" a="1"/>
  <c r="T44" i="18" s="1"/>
  <c r="P44" i="18" a="1"/>
  <c r="P44" i="18" s="1"/>
  <c r="R44" i="18" s="1"/>
  <c r="U44" i="18" s="1"/>
  <c r="S44" i="18" a="1"/>
  <c r="S44" i="18" s="1"/>
  <c r="T12" i="18" a="1"/>
  <c r="T12" i="18" s="1"/>
  <c r="P12" i="18" a="1"/>
  <c r="P12" i="18" s="1"/>
  <c r="R12" i="18" s="1"/>
  <c r="U12" i="18" s="1"/>
  <c r="S12" i="18" a="1"/>
  <c r="S12" i="18" s="1"/>
  <c r="P21" i="18" a="1"/>
  <c r="P21" i="18" s="1"/>
  <c r="R21" i="18" s="1"/>
  <c r="U21" i="18" s="1"/>
  <c r="P6" i="18" a="1"/>
  <c r="P6" i="18" s="1"/>
  <c r="R6" i="18" s="1"/>
  <c r="U6" i="18" s="1"/>
  <c r="P42" i="18" a="1"/>
  <c r="P42" i="18" s="1"/>
  <c r="R42" i="18" s="1"/>
  <c r="U42" i="18" s="1"/>
  <c r="T35" i="18" a="1"/>
  <c r="T35" i="18" s="1"/>
  <c r="O27" i="18" a="1"/>
  <c r="O27" i="18" s="1"/>
  <c r="O16" i="18" a="1"/>
  <c r="O16" i="18" s="1"/>
  <c r="P38" i="18" a="1"/>
  <c r="P38" i="18" s="1"/>
  <c r="R38" i="18" s="1"/>
  <c r="U38" i="18" s="1"/>
  <c r="O31" i="18" a="1"/>
  <c r="O31" i="18" s="1"/>
  <c r="O26" i="18" a="1"/>
  <c r="O26" i="18" s="1"/>
  <c r="O22" i="18" a="1"/>
  <c r="O22" i="18" s="1"/>
  <c r="O10" i="18" a="1"/>
  <c r="O10" i="18" s="1"/>
  <c r="T28" i="18" a="1"/>
  <c r="T28" i="18" s="1"/>
  <c r="P28" i="18" a="1"/>
  <c r="P28" i="18" s="1"/>
  <c r="R28" i="18" s="1"/>
  <c r="U28" i="18" s="1"/>
  <c r="S28" i="18" a="1"/>
  <c r="S28" i="18" s="1"/>
  <c r="T9" i="18" a="1"/>
  <c r="T9" i="18" s="1"/>
  <c r="O21" i="18" a="1"/>
  <c r="O21" i="18" s="1"/>
  <c r="P11" i="18" a="1"/>
  <c r="P11" i="18" s="1"/>
  <c r="S11" i="18" a="1"/>
  <c r="S11" i="18" s="1"/>
  <c r="T32" i="18" a="1"/>
  <c r="T32" i="18" s="1"/>
  <c r="S40" i="18" a="1"/>
  <c r="S40" i="18" s="1"/>
  <c r="S14" i="18" a="1"/>
  <c r="S14" i="18" s="1"/>
  <c r="R11" i="18"/>
  <c r="U11" i="18" s="1"/>
  <c r="T8" i="18" a="1"/>
  <c r="T8" i="18" s="1"/>
  <c r="S41" i="18" a="1"/>
  <c r="S41" i="18" s="1"/>
  <c r="O41" i="18" a="1"/>
  <c r="O41" i="18" s="1"/>
  <c r="T31" i="18" a="1"/>
  <c r="T31" i="18" s="1"/>
  <c r="T18" i="18" a="1"/>
  <c r="T18" i="18" s="1"/>
  <c r="S13" i="18" a="1"/>
  <c r="S13" i="18" s="1"/>
  <c r="R9" i="18"/>
  <c r="U9" i="18" s="1"/>
  <c r="P46" i="18" a="1"/>
  <c r="P46" i="18" s="1"/>
  <c r="R46" i="18" s="1"/>
  <c r="U46" i="18" s="1"/>
  <c r="P31" i="18" a="1"/>
  <c r="P31" i="18" s="1"/>
  <c r="R31" i="18" s="1"/>
  <c r="U31" i="18" s="1"/>
  <c r="P16" i="18" a="1"/>
  <c r="P16" i="18" s="1"/>
  <c r="R16" i="18" s="1"/>
  <c r="U16" i="18" s="1"/>
  <c r="R32" i="18"/>
  <c r="U32" i="18"/>
  <c r="R15" i="18"/>
  <c r="U15" i="18" s="1"/>
  <c r="O40" i="18" a="1"/>
  <c r="O40" i="18" s="1"/>
  <c r="O24" i="18" a="1"/>
  <c r="O24" i="18" s="1"/>
  <c r="O8" i="18" a="1"/>
  <c r="O8" i="18" s="1"/>
  <c r="O32" i="18" a="1"/>
  <c r="O32" i="18" s="1"/>
  <c r="T11" i="18" a="1"/>
  <c r="T11" i="18" s="1"/>
  <c r="P8" i="18" a="1"/>
  <c r="P8" i="18" s="1"/>
  <c r="R8" i="18" s="1"/>
  <c r="U8" i="18" s="1"/>
  <c r="T34" i="18" a="1"/>
  <c r="T34" i="18" s="1"/>
  <c r="O11" i="18" a="1"/>
  <c r="O11" i="18" s="1"/>
  <c r="T45" i="18" a="1"/>
  <c r="T45" i="18" s="1"/>
  <c r="P33" i="18" a="1"/>
  <c r="P33" i="18" s="1"/>
  <c r="R33" i="18" s="1"/>
  <c r="U33" i="18" s="1"/>
  <c r="R34" i="18"/>
  <c r="O6" i="18" a="1"/>
  <c r="O6" i="18" s="1"/>
  <c r="P43" i="18" a="1"/>
  <c r="P43" i="18" s="1"/>
  <c r="R43" i="18" s="1"/>
  <c r="U43" i="18" s="1"/>
  <c r="S43" i="18" a="1"/>
  <c r="S43" i="18" s="1"/>
  <c r="P17" i="18" a="1"/>
  <c r="P17" i="18" s="1"/>
  <c r="R17" i="18" s="1"/>
  <c r="U17" i="18" s="1"/>
  <c r="P26" i="18" a="1"/>
  <c r="P26" i="18" s="1"/>
  <c r="R26" i="18" s="1"/>
  <c r="U26" i="18" s="1"/>
  <c r="S26" i="18" a="1"/>
  <c r="S26" i="18" s="1"/>
  <c r="P10" i="18" a="1"/>
  <c r="P10" i="18" s="1"/>
  <c r="R10" i="18" s="1"/>
  <c r="U10" i="18" s="1"/>
  <c r="S10" i="18" a="1"/>
  <c r="S10" i="18" s="1"/>
  <c r="T42" i="18" a="1"/>
  <c r="T42" i="18" s="1"/>
  <c r="P5" i="18" a="1"/>
  <c r="P5" i="18" s="1"/>
  <c r="R5" i="18" s="1"/>
  <c r="U5" i="18" s="1"/>
  <c r="O20" i="18" a="1"/>
  <c r="O20" i="18" s="1"/>
  <c r="S9" i="18" a="1"/>
  <c r="S9" i="18" s="1"/>
  <c r="O9" i="18" a="1"/>
  <c r="O9" i="18" s="1"/>
  <c r="T7" i="18" a="1"/>
  <c r="T7" i="18" s="1"/>
  <c r="S24" i="18" a="1"/>
  <c r="S24" i="18" s="1"/>
  <c r="O34" i="18" a="1"/>
  <c r="O34" i="18" s="1"/>
  <c r="O19" i="18" a="1"/>
  <c r="O19" i="18" s="1"/>
  <c r="O4" i="18" a="1"/>
  <c r="O4" i="18" s="1"/>
  <c r="O39" i="18" a="1"/>
  <c r="O39" i="18" s="1"/>
  <c r="O23" i="18" a="1"/>
  <c r="O23" i="18" s="1"/>
  <c r="O7" i="18" a="1"/>
  <c r="O7" i="18" s="1"/>
  <c r="P45" i="18" a="1"/>
  <c r="P45" i="18" s="1"/>
  <c r="R45" i="18" s="1"/>
  <c r="U45" i="18" s="1"/>
  <c r="P30" i="18" a="1"/>
  <c r="P30" i="18" s="1"/>
  <c r="R30" i="18" s="1"/>
  <c r="U30" i="18" s="1"/>
  <c r="P15" i="18" a="1"/>
  <c r="P15" i="18" s="1"/>
  <c r="O30" i="18" a="1"/>
  <c r="O30" i="18" s="1"/>
  <c r="R14" i="18"/>
  <c r="U14" i="18" s="1"/>
  <c r="O35" i="18" a="1"/>
  <c r="O35" i="18" s="1"/>
  <c r="S25" i="18" a="1"/>
  <c r="S25" i="18" s="1"/>
  <c r="O25" i="18" a="1"/>
  <c r="O25" i="18" s="1"/>
  <c r="T41" i="18" a="1"/>
  <c r="T41" i="18" s="1"/>
  <c r="T29" i="18" a="1"/>
  <c r="T29" i="18" s="1"/>
  <c r="T17" i="18" a="1"/>
  <c r="T17" i="18" s="1"/>
  <c r="T5" i="18" a="1"/>
  <c r="T5" i="18" s="1"/>
  <c r="S38" i="18" a="1"/>
  <c r="S38" i="18" s="1"/>
  <c r="T40" i="18" a="1"/>
  <c r="T40" i="18" s="1"/>
  <c r="S23" i="18" a="1"/>
  <c r="S23" i="18" s="1"/>
  <c r="S8" i="18" a="1"/>
  <c r="S8" i="18" s="1"/>
  <c r="P41" i="18" a="1"/>
  <c r="P41" i="18" s="1"/>
  <c r="R41" i="18" s="1"/>
  <c r="U41" i="18" s="1"/>
  <c r="O18" i="18" a="1"/>
  <c r="O18" i="18" s="1"/>
  <c r="O3" i="18" a="1"/>
  <c r="O3" i="18" s="1"/>
  <c r="T36" i="18" a="1"/>
  <c r="T36" i="18" s="1"/>
  <c r="T20" i="18" a="1"/>
  <c r="T20" i="18" s="1"/>
  <c r="T4" i="18" a="1"/>
  <c r="T4" i="18" s="1"/>
  <c r="S46" i="18" a="1"/>
  <c r="S46" i="18" s="1"/>
  <c r="S5" i="18" a="1"/>
  <c r="S5" i="18" s="1"/>
  <c r="T14" i="18" a="1"/>
  <c r="T14" i="18" s="1"/>
  <c r="P37" i="18" a="1"/>
  <c r="P37" i="18" s="1"/>
  <c r="R37" i="18" s="1"/>
  <c r="U37" i="18" s="1"/>
  <c r="T21" i="18" a="1"/>
  <c r="T21" i="18" s="1"/>
  <c r="T43" i="18" a="1"/>
  <c r="T43" i="18" s="1"/>
  <c r="O36" i="18" a="1"/>
  <c r="O36" i="18" s="1"/>
  <c r="P27" i="18" a="1"/>
  <c r="P27" i="18" s="1"/>
  <c r="S27" i="18" a="1"/>
  <c r="S27" i="18" s="1"/>
  <c r="T19" i="18" a="1"/>
  <c r="T19" i="18" s="1"/>
  <c r="S29" i="18" a="1"/>
  <c r="S29" i="18" s="1"/>
  <c r="U34" i="18"/>
  <c r="T16" i="18" a="1"/>
  <c r="T16" i="18" s="1"/>
  <c r="T3" i="18" a="1"/>
  <c r="T3" i="18" s="1"/>
  <c r="S37" i="18" a="1"/>
  <c r="S37" i="18" s="1"/>
  <c r="P29" i="18" a="1"/>
  <c r="P29" i="18" s="1"/>
  <c r="P14" i="18" a="1"/>
  <c r="P14" i="18" s="1"/>
  <c r="O44" i="18" a="1"/>
  <c r="O44" i="18" s="1"/>
  <c r="O14" i="18" a="1"/>
  <c r="O14" i="18" s="1"/>
  <c r="T39" i="18" a="1"/>
  <c r="T39" i="18" s="1"/>
  <c r="T26" i="18" a="1"/>
  <c r="T26" i="18" s="1"/>
  <c r="S22" i="18" a="1"/>
  <c r="S22" i="18" s="1"/>
  <c r="S7" i="18" a="1"/>
  <c r="S7" i="18" s="1"/>
  <c r="R27" i="18"/>
  <c r="U27" i="18" s="1"/>
  <c r="P40" i="18" a="1"/>
  <c r="P40" i="18" s="1"/>
  <c r="R40" i="18" s="1"/>
  <c r="U40" i="18" s="1"/>
  <c r="P25" i="18" a="1"/>
  <c r="P25" i="18" s="1"/>
  <c r="R25" i="18" s="1"/>
  <c r="U25" i="18" s="1"/>
  <c r="O2" i="18" a="1"/>
  <c r="O2" i="18" s="1"/>
  <c r="P2" i="18" a="1"/>
  <c r="P2" i="18" s="1"/>
  <c r="R2" i="18" s="1"/>
  <c r="U2" i="18" s="1"/>
  <c r="S32" i="18" a="1"/>
  <c r="S32" i="18" s="1"/>
  <c r="O12" i="18" a="1"/>
  <c r="O12" i="18" s="1"/>
  <c r="T24" i="18" a="1"/>
  <c r="T24" i="18" s="1"/>
  <c r="P23" i="18" a="1"/>
  <c r="P23" i="18" s="1"/>
  <c r="R23" i="18" s="1"/>
  <c r="U23" i="18" s="1"/>
  <c r="O15" i="18" a="1"/>
  <c r="O15" i="18" s="1"/>
  <c r="T46" i="18" a="1"/>
  <c r="T46" i="18" s="1"/>
  <c r="T23" i="18" a="1"/>
  <c r="T23" i="18" s="1"/>
  <c r="P7" i="18" a="1"/>
  <c r="P7" i="18" s="1"/>
  <c r="R7" i="18" s="1"/>
  <c r="U7" i="18" s="1"/>
  <c r="S42" i="18" a="1"/>
  <c r="S42" i="18" s="1"/>
  <c r="T37" i="18" a="1"/>
  <c r="T37" i="18" s="1"/>
  <c r="T15" i="18" a="1"/>
  <c r="T15" i="18" s="1"/>
  <c r="T2" i="18" a="1"/>
  <c r="T2" i="18" s="1"/>
  <c r="S34" i="18" a="1"/>
  <c r="S34" i="18" s="1"/>
  <c r="P13" i="18" a="1"/>
  <c r="P13" i="18" s="1"/>
  <c r="R13" i="18" s="1"/>
  <c r="U13" i="18" s="1"/>
  <c r="O43" i="18" a="1"/>
  <c r="O43" i="18" s="1"/>
  <c r="O28" i="18" a="1"/>
  <c r="O28" i="18" s="1"/>
  <c r="R29" i="18"/>
  <c r="U29" i="18" s="1"/>
  <c r="S20" i="18" a="1"/>
  <c r="S20" i="18" s="1"/>
  <c r="S4" i="18" a="1"/>
  <c r="S4" i="18" s="1"/>
  <c r="P36" i="18" a="1"/>
  <c r="P36" i="18" s="1"/>
  <c r="R36" i="18" s="1"/>
  <c r="U36" i="18" s="1"/>
  <c r="P20" i="18" a="1"/>
  <c r="P20" i="18" s="1"/>
  <c r="R20" i="18" s="1"/>
  <c r="U20" i="18" s="1"/>
  <c r="P4" i="18" a="1"/>
  <c r="P4" i="18" s="1"/>
  <c r="T6" i="18" a="1"/>
  <c r="T6" i="18" s="1"/>
  <c r="S19" i="18" a="1"/>
  <c r="S19" i="18" s="1"/>
  <c r="S3" i="18" a="1"/>
  <c r="S3" i="18" s="1"/>
  <c r="S36" i="18" a="1"/>
  <c r="S36" i="18" s="1"/>
  <c r="T38" i="18" a="1"/>
  <c r="T38" i="18" s="1"/>
  <c r="T22" i="18" a="1"/>
  <c r="T22" i="18" s="1"/>
  <c r="S35" i="18" a="1"/>
  <c r="S35" i="18" s="1"/>
  <c r="P35" i="18" a="1"/>
  <c r="P35" i="18" s="1"/>
  <c r="R35" i="18" s="1"/>
  <c r="U35" i="18" s="1"/>
  <c r="P19" i="18" a="1"/>
  <c r="P19" i="18" s="1"/>
  <c r="R19" i="18" s="1"/>
  <c r="U19" i="18" s="1"/>
  <c r="P3" i="18" a="1"/>
  <c r="P3" i="18" s="1"/>
  <c r="R3" i="18" s="1"/>
  <c r="U3" i="18" s="1"/>
  <c r="S18" i="18" a="1"/>
  <c r="S18" i="18" s="1"/>
  <c r="S2" i="18" a="1"/>
  <c r="S2" i="18" s="1"/>
  <c r="P34" i="18" a="1"/>
  <c r="P34" i="18" s="1"/>
  <c r="P18" i="18" a="1"/>
  <c r="P18" i="18" s="1"/>
  <c r="R18" i="18" s="1"/>
  <c r="U18" i="18" s="1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c:\users\administrator\documents\model1.db;StepAPI=;SyncPragma=;NoTXN=;Timeout=;ShortNames=;LongNames=;NoCreat=;NoWCHAR=;FKSupport=;JournalMode=;OEMCP=;LoadExt=;BigInt=;JDConv=;" command="select * from FrequencyStatsQuery"/>
  </connection>
  <connection id="2" name="Connection1" type="1" refreshedVersion="6" saveData="1">
    <dbPr connection="Driver={SQLite3 ODBC Driver};Database=c:\users\administrator\documents\model1.db;StepAPI=;SyncPragma=;NoTXN=;Timeout=;ShortNames=;LongNames=;NoCreat=;NoWCHAR=;FKSupport=;JournalMode=;OEMCP=;LoadExt=;BigInt=;JDConv=;" command="select * from ProjectQuery"/>
  </connection>
  <connection id="3" name="Connection2" type="1" refreshedVersion="6" saveData="1">
    <dbPr connection="Driver={SQLite3 ODBC Driver};Database=c:\users\administrator\documents\model1.db;StepAPI=;SyncPragma=;NoTXN=;Timeout=;ShortNames=;LongNames=;NoCreat=;NoWCHAR=;FKSupport=;JournalMode=;OEMCP=;LoadExt=;BigInt=;JDConv=;" command="select * from DiscreteTimeStatsQuery"/>
  </connection>
  <connection id="4" name="Connection3" type="1" refreshedVersion="6" saveData="1">
    <dbPr connection="Driver={SQLite3 ODBC Driver};Database=c:\users\administrator\documents\model1.db;StepAPI=;SyncPragma=;NoTXN=;Timeout=;ShortNames=;LongNames=;NoCreat=;NoWCHAR=;FKSupport=;JournalMode=;OEMCP=;LoadExt=;BigInt=;JDConv=;" command="select * from ContinuousTimeStatsQuery"/>
  </connection>
  <connection id="5" name="Connection4" type="1" refreshedVersion="6" saveData="1">
    <dbPr connection="Driver={SQLite3 ODBC Driver};Database=c:\users\administrator\documents\model1.db;StepAPI=;SyncPragma=;NoTXN=;Timeout=;ShortNames=;LongNames=;NoCreat=;NoWCHAR=;FKSupport=;JournalMode=;OEMCP=;LoadExt=;BigInt=;JDConv=;" command="select * from CounterStatsQuery"/>
  </connection>
  <connection id="6" name="Connection5" type="1" refreshedVersion="6" saveData="1">
    <dbPr connection="Driver={SQLite3 ODBC Driver};Database=c:\users\administrator\documents\model1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<sst xmlns="http://schemas.openxmlformats.org/spreadsheetml/2006/main" count="615" uniqueCount="96">
  <si>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</si>
  <si>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</si>
  <si>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</si>
  <si>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</si>
  <si>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</si>
  <si>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</si>
  <si>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</si>
  <si>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</si>
  <si>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</si>
  <si>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</si>
  <si>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</si>
  <si>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</si>
  <si>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</si>
  <si>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</si>
  <si>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</si>
  <si>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</si>
  <si>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</si>
  <si>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</si>
  <si>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</si>
  <si>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</si>
  <si>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</si>
  <si>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</si>
  <si>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</si>
  <si>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</si>
  <si>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</si>
  <si>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</si>
  <si>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</si>
  <si>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</si>
  <si>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</si>
  <si>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</si>
  <si>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</si>
  <si>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</si>
  <si>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</si>
  <si>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</si>
  <si>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</si>
  <si>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</si>
  <si>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</si>
  <si>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</si>
  <si>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</si>
  <si>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</si>
  <si>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</si>
  <si>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</si>
  <si>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</si>
  <si>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</si>
  <si>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</si>
  <si>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</si>
  <si>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</si>
  <si>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</si>
  <si>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</si>
  <si>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</si>
  <si>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</si>
  <si>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</si>
  <si>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</si>
  <si>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</si>
  <si>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</si>
  <si>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</si>
  <si>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</si>
  <si>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</si>
  <si>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</si>
  <si>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</si>
  <si>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</si>
  <si>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</si>
  <si>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</si>
  <si>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</si>
  <si>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</si>
  <si>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</si>
  <si>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</si>
  <si>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</si>
  <si>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</si>
  <si>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Model1.p</t>
  </si>
  <si>
    <t>2026-03-22 20:57:19</t>
  </si>
  <si>
    <t>Entity 1</t>
  </si>
  <si>
    <t>WIP</t>
  </si>
  <si>
    <t>Entity</t>
  </si>
  <si>
    <t>Food counters</t>
  </si>
  <si>
    <t>Instantaneous Utilization</t>
  </si>
  <si>
    <t>Resource</t>
  </si>
  <si>
    <t>Number Busy</t>
  </si>
  <si>
    <t>Number Scheduled</t>
  </si>
  <si>
    <t>ID Verification.Queue</t>
  </si>
  <si>
    <t>Number Waiting</t>
  </si>
  <si>
    <t>Queue</t>
  </si>
  <si>
    <t>Meal Collection.Queue</t>
  </si>
  <si>
    <t>Verification Stations</t>
  </si>
  <si>
    <t>Entity 1.NumberIn</t>
  </si>
  <si>
    <t>Number In</t>
  </si>
  <si>
    <t>Entity 1.NumberOut</t>
  </si>
  <si>
    <t>Number Out</t>
  </si>
  <si>
    <t>Food counters.NumberSeized</t>
  </si>
  <si>
    <t>Total Number Seized</t>
  </si>
  <si>
    <t>Food counters.ScheduledUtilization</t>
  </si>
  <si>
    <t>Scheduled Utilization</t>
  </si>
  <si>
    <t>System.NumberOut</t>
  </si>
  <si>
    <t>System</t>
  </si>
  <si>
    <t>Verification Stations.NumberSeized</t>
  </si>
  <si>
    <t>Verification Stations.ScheduledUtilization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</si>
</sst>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0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tor" refreshedDate="46103.878184490743" createdVersion="7" refreshedVersion="6" minRefreshableVersion="3" recordCount="45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8">
        <s v="Entity 1"/>
        <s v="Food counters"/>
        <s v="ID Verification.Queue"/>
        <s v="Meal Collection.Queue"/>
        <s v="Verification Station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97.9268717412820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100"/>
    </cacheField>
    <cacheField name="LastRecordedValue" numFmtId="0">
      <sharedItems containsSemiMixedTypes="0" containsString="0" containsNumber="1" containsInteger="1" minValue="0" maxValue="1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97.616834005058379"/>
    </cacheField>
    <cacheField name="StDevOfAverage" numFmtId="0">
      <sharedItems containsSemiMixedTypes="0" containsString="0" containsNumber="1" minValue="0" maxValue="0.287399068190353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5685307608927003"/>
    </cacheField>
    <cacheField name="MinimumAverage" numFmtId="0">
      <sharedItems containsSemiMixedTypes="0" containsString="0" containsNumber="1" minValue="0" maxValue="97.323629595585402"/>
    </cacheField>
    <cacheField name="MaximumAverage" numFmtId="0">
      <sharedItems containsSemiMixedTypes="0" containsString="0" containsNumber="1" minValue="0" maxValue="97.926871741282099"/>
    </cacheField>
    <cacheField name="SummaryHalfWidth" numFmtId="0">
      <sharedItems containsSemiMixedTypes="0" containsString="0" containsNumber="1" minValue="0" maxValue="0.35685307608927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istrator" refreshedDate="46103.87818472222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ministrator" refreshedDate="46103.878184837966" createdVersion="7" refreshedVersion="6" minRefreshableVersion="3" recordCount="1">
  <cacheSource type="worksheet">
    <worksheetSource name="DiscreteStatsTable"/>
  </cacheSource>
  <cacheFields count="25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OfAverage" numFmtId="0">
      <sharedItems containsNonDate="0" containsString="0" containsBlank="1"/>
    </cacheField>
    <cacheField name="StDevOfAverage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Average" numFmtId="0">
      <sharedItems containsNonDate="0" containsString="0" containsBlank="1"/>
    </cacheField>
    <cacheField name="MaximumAverage" numFmtId="0">
      <sharedItems containsNonDate="0" containsString="0" containsBlank="1"/>
    </cacheField>
    <cacheField name="OverallMinimum" numFmtId="0">
      <sharedItems containsNonDate="0" containsString="0" containsBlank="1"/>
    </cacheField>
    <cacheField name="OverallMaximum" numFmtId="0">
      <sharedItems containsNonDate="0" containsString="0" containsBlank="1"/>
    </cacheField>
    <cacheField name="AverageNumberObservations" numFmtId="0">
      <sharedItems containsNonDate="0" containsString="0" containsBlank="1"/>
    </cacheField>
    <cacheField name="SummaryHalfWidth" numFmtId="0">
      <sharedItems containsNonDate="0" containsString="0" containsBlank="1"/>
    </cacheField>
    <cacheField name="RepsWithStatObserved" numFmtId="0">
      <sharedItems containsNonDate="0" containsString="0" containsBlank="1"/>
    </cacheField>
    <cacheField name="Observed=Request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ministrator" refreshedDate="46103.878184953704" createdVersion="7" refreshedVersion="6" minRefreshableVersion="3" recordCount="35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Entity 1.NumberIn"/>
        <s v="Entity 1.NumberOut"/>
        <s v="Food counters.NumberSeized"/>
        <s v="Food counters.ScheduledUtilization"/>
        <s v="System.NumberOut"/>
        <s v="Verification Stations.NumberSeized"/>
        <s v="Verification Stations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containsInteger="1" minValue="0" maxValue="1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containsInteger="1" minValue="0" maxValue="1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0" maxValue="0"/>
    </cacheField>
    <cacheField name="Minimum" numFmtId="0">
      <sharedItems containsSemiMixedTypes="0" containsString="0" containsNumber="1" containsInteger="1" minValue="0" maxValue="100"/>
    </cacheField>
    <cacheField name="Maximum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ministrator" refreshedDate="46103.878185069443" createdVersion="7" refreshedVersion="6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s v="2026-03-22 20:57:19"/>
    <n v="1"/>
    <x v="0"/>
    <x v="0"/>
    <x v="0"/>
    <n v="97.363654512468102"/>
    <n v="2E+20"/>
    <n v="0"/>
    <n v="100"/>
    <n v="100"/>
    <n v="0"/>
    <s v="Unnamed ProjectEntity 1WIPEntity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1"/>
    <x v="1"/>
    <x v="1"/>
    <x v="1"/>
    <n v="0"/>
    <n v="2E+20"/>
    <n v="0"/>
    <n v="0"/>
    <n v="0"/>
    <n v="0"/>
    <s v="Unnamed ProjectFood countersInstantaneous UtilizationResource"/>
    <n v="5"/>
    <n v="0"/>
    <n v="0"/>
    <n v="0.95"/>
    <n v="0"/>
    <n v="0"/>
    <n v="0"/>
    <n v="0"/>
  </r>
  <r>
    <x v="0"/>
    <s v="2026-03-22 20:57:19"/>
    <n v="1"/>
    <x v="1"/>
    <x v="2"/>
    <x v="1"/>
    <n v="0"/>
    <n v="2E+20"/>
    <n v="0"/>
    <n v="0"/>
    <n v="0"/>
    <n v="0"/>
    <s v="Unnamed ProjectFood countersNumber BusyResource"/>
    <n v="5"/>
    <n v="0"/>
    <n v="0"/>
    <n v="0.95"/>
    <n v="0"/>
    <n v="0"/>
    <n v="0"/>
    <n v="0"/>
  </r>
  <r>
    <x v="0"/>
    <s v="2026-03-22 20:57:19"/>
    <n v="1"/>
    <x v="1"/>
    <x v="3"/>
    <x v="1"/>
    <n v="1"/>
    <n v="2E+20"/>
    <n v="1"/>
    <n v="1"/>
    <n v="1"/>
    <n v="0"/>
    <s v="Unnamed ProjectFood countersNumber ScheduledResource"/>
    <n v="5"/>
    <n v="1"/>
    <n v="0"/>
    <n v="0.95"/>
    <n v="0"/>
    <n v="1"/>
    <n v="1"/>
    <n v="0"/>
  </r>
  <r>
    <x v="0"/>
    <s v="2026-03-22 20:57:19"/>
    <n v="1"/>
    <x v="2"/>
    <x v="4"/>
    <x v="2"/>
    <n v="97.363654512468102"/>
    <n v="2E+20"/>
    <n v="0"/>
    <n v="100"/>
    <n v="100"/>
    <n v="0"/>
    <s v="Unnamed ProjectID Verification.QueueNumber WaitingQueue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1"/>
    <x v="3"/>
    <x v="4"/>
    <x v="2"/>
    <n v="0"/>
    <n v="2E+20"/>
    <n v="0"/>
    <n v="0"/>
    <n v="0"/>
    <n v="0"/>
    <s v="Unnamed ProjectMeal Collection.QueueNumber WaitingQueue"/>
    <n v="5"/>
    <n v="0"/>
    <n v="0"/>
    <n v="0.95"/>
    <n v="0"/>
    <n v="0"/>
    <n v="0"/>
    <n v="0"/>
  </r>
  <r>
    <x v="0"/>
    <s v="2026-03-22 20:57:19"/>
    <n v="1"/>
    <x v="4"/>
    <x v="1"/>
    <x v="1"/>
    <n v="0"/>
    <n v="2E+20"/>
    <n v="0"/>
    <n v="0"/>
    <n v="0"/>
    <n v="0"/>
    <s v="Unnamed ProjectVerification StationsInstantaneous UtilizationResource"/>
    <n v="5"/>
    <n v="0"/>
    <n v="0"/>
    <n v="0.95"/>
    <n v="0"/>
    <n v="0"/>
    <n v="0"/>
    <n v="0"/>
  </r>
  <r>
    <x v="0"/>
    <s v="2026-03-22 20:57:19"/>
    <n v="1"/>
    <x v="4"/>
    <x v="2"/>
    <x v="1"/>
    <n v="0"/>
    <n v="2E+20"/>
    <n v="0"/>
    <n v="0"/>
    <n v="0"/>
    <n v="0"/>
    <s v="Unnamed ProjectVerification StationsNumber BusyResource"/>
    <n v="5"/>
    <n v="0"/>
    <n v="0"/>
    <n v="0.95"/>
    <n v="0"/>
    <n v="0"/>
    <n v="0"/>
    <n v="0"/>
  </r>
  <r>
    <x v="0"/>
    <s v="2026-03-22 20:57:19"/>
    <n v="1"/>
    <x v="4"/>
    <x v="3"/>
    <x v="1"/>
    <n v="1"/>
    <n v="2E+20"/>
    <n v="1"/>
    <n v="1"/>
    <n v="1"/>
    <n v="0"/>
    <s v="Unnamed ProjectVerification StationsNumber ScheduledResource"/>
    <n v="5"/>
    <n v="1"/>
    <n v="0"/>
    <n v="0.95"/>
    <n v="0"/>
    <n v="1"/>
    <n v="1"/>
    <n v="0"/>
  </r>
  <r>
    <x v="0"/>
    <s v="2026-03-22 20:57:19"/>
    <n v="2"/>
    <x v="0"/>
    <x v="0"/>
    <x v="0"/>
    <n v="97.567270593070504"/>
    <n v="2E+20"/>
    <n v="0"/>
    <n v="100"/>
    <n v="100"/>
    <n v="0"/>
    <s v="Unnamed ProjectEntity 1WIPEntity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2"/>
    <x v="1"/>
    <x v="1"/>
    <x v="1"/>
    <n v="0"/>
    <n v="2E+20"/>
    <n v="0"/>
    <n v="0"/>
    <n v="0"/>
    <n v="0"/>
    <s v="Unnamed ProjectFood countersInstantaneous UtilizationResource"/>
    <n v="5"/>
    <n v="0"/>
    <n v="0"/>
    <n v="0.95"/>
    <n v="0"/>
    <n v="0"/>
    <n v="0"/>
    <n v="0"/>
  </r>
  <r>
    <x v="0"/>
    <s v="2026-03-22 20:57:19"/>
    <n v="2"/>
    <x v="1"/>
    <x v="2"/>
    <x v="1"/>
    <n v="0"/>
    <n v="2E+20"/>
    <n v="0"/>
    <n v="0"/>
    <n v="0"/>
    <n v="0"/>
    <s v="Unnamed ProjectFood countersNumber BusyResource"/>
    <n v="5"/>
    <n v="0"/>
    <n v="0"/>
    <n v="0.95"/>
    <n v="0"/>
    <n v="0"/>
    <n v="0"/>
    <n v="0"/>
  </r>
  <r>
    <x v="0"/>
    <s v="2026-03-22 20:57:19"/>
    <n v="2"/>
    <x v="1"/>
    <x v="3"/>
    <x v="1"/>
    <n v="1"/>
    <n v="2E+20"/>
    <n v="1"/>
    <n v="1"/>
    <n v="1"/>
    <n v="0"/>
    <s v="Unnamed ProjectFood countersNumber ScheduledResource"/>
    <n v="5"/>
    <n v="1"/>
    <n v="0"/>
    <n v="0.95"/>
    <n v="0"/>
    <n v="1"/>
    <n v="1"/>
    <n v="0"/>
  </r>
  <r>
    <x v="0"/>
    <s v="2026-03-22 20:57:19"/>
    <n v="2"/>
    <x v="2"/>
    <x v="4"/>
    <x v="2"/>
    <n v="97.567270593070504"/>
    <n v="2E+20"/>
    <n v="0"/>
    <n v="100"/>
    <n v="100"/>
    <n v="0"/>
    <s v="Unnamed ProjectID Verification.QueueNumber WaitingQueue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2"/>
    <x v="3"/>
    <x v="4"/>
    <x v="2"/>
    <n v="0"/>
    <n v="2E+20"/>
    <n v="0"/>
    <n v="0"/>
    <n v="0"/>
    <n v="0"/>
    <s v="Unnamed ProjectMeal Collection.QueueNumber WaitingQueue"/>
    <n v="5"/>
    <n v="0"/>
    <n v="0"/>
    <n v="0.95"/>
    <n v="0"/>
    <n v="0"/>
    <n v="0"/>
    <n v="0"/>
  </r>
  <r>
    <x v="0"/>
    <s v="2026-03-22 20:57:19"/>
    <n v="2"/>
    <x v="4"/>
    <x v="1"/>
    <x v="1"/>
    <n v="0"/>
    <n v="2E+20"/>
    <n v="0"/>
    <n v="0"/>
    <n v="0"/>
    <n v="0"/>
    <s v="Unnamed ProjectVerification StationsInstantaneous UtilizationResource"/>
    <n v="5"/>
    <n v="0"/>
    <n v="0"/>
    <n v="0.95"/>
    <n v="0"/>
    <n v="0"/>
    <n v="0"/>
    <n v="0"/>
  </r>
  <r>
    <x v="0"/>
    <s v="2026-03-22 20:57:19"/>
    <n v="2"/>
    <x v="4"/>
    <x v="2"/>
    <x v="1"/>
    <n v="0"/>
    <n v="2E+20"/>
    <n v="0"/>
    <n v="0"/>
    <n v="0"/>
    <n v="0"/>
    <s v="Unnamed ProjectVerification StationsNumber BusyResource"/>
    <n v="5"/>
    <n v="0"/>
    <n v="0"/>
    <n v="0.95"/>
    <n v="0"/>
    <n v="0"/>
    <n v="0"/>
    <n v="0"/>
  </r>
  <r>
    <x v="0"/>
    <s v="2026-03-22 20:57:19"/>
    <n v="2"/>
    <x v="4"/>
    <x v="3"/>
    <x v="1"/>
    <n v="1"/>
    <n v="2E+20"/>
    <n v="1"/>
    <n v="1"/>
    <n v="1"/>
    <n v="0"/>
    <s v="Unnamed ProjectVerification StationsNumber ScheduledResource"/>
    <n v="5"/>
    <n v="1"/>
    <n v="0"/>
    <n v="0.95"/>
    <n v="0"/>
    <n v="1"/>
    <n v="1"/>
    <n v="0"/>
  </r>
  <r>
    <x v="0"/>
    <s v="2026-03-22 20:57:19"/>
    <n v="3"/>
    <x v="0"/>
    <x v="0"/>
    <x v="0"/>
    <n v="97.902743582885805"/>
    <n v="2E+20"/>
    <n v="0"/>
    <n v="100"/>
    <n v="100"/>
    <n v="0"/>
    <s v="Unnamed ProjectEntity 1WIPEntity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3"/>
    <x v="1"/>
    <x v="1"/>
    <x v="1"/>
    <n v="0"/>
    <n v="2E+20"/>
    <n v="0"/>
    <n v="0"/>
    <n v="0"/>
    <n v="0"/>
    <s v="Unnamed ProjectFood countersInstantaneous UtilizationResource"/>
    <n v="5"/>
    <n v="0"/>
    <n v="0"/>
    <n v="0.95"/>
    <n v="0"/>
    <n v="0"/>
    <n v="0"/>
    <n v="0"/>
  </r>
  <r>
    <x v="0"/>
    <s v="2026-03-22 20:57:19"/>
    <n v="3"/>
    <x v="1"/>
    <x v="2"/>
    <x v="1"/>
    <n v="0"/>
    <n v="2E+20"/>
    <n v="0"/>
    <n v="0"/>
    <n v="0"/>
    <n v="0"/>
    <s v="Unnamed ProjectFood countersNumber BusyResource"/>
    <n v="5"/>
    <n v="0"/>
    <n v="0"/>
    <n v="0.95"/>
    <n v="0"/>
    <n v="0"/>
    <n v="0"/>
    <n v="0"/>
  </r>
  <r>
    <x v="0"/>
    <s v="2026-03-22 20:57:19"/>
    <n v="3"/>
    <x v="1"/>
    <x v="3"/>
    <x v="1"/>
    <n v="1"/>
    <n v="2E+20"/>
    <n v="1"/>
    <n v="1"/>
    <n v="1"/>
    <n v="0"/>
    <s v="Unnamed ProjectFood countersNumber ScheduledResource"/>
    <n v="5"/>
    <n v="1"/>
    <n v="0"/>
    <n v="0.95"/>
    <n v="0"/>
    <n v="1"/>
    <n v="1"/>
    <n v="0"/>
  </r>
  <r>
    <x v="0"/>
    <s v="2026-03-22 20:57:19"/>
    <n v="3"/>
    <x v="2"/>
    <x v="4"/>
    <x v="2"/>
    <n v="97.902743582885805"/>
    <n v="2E+20"/>
    <n v="0"/>
    <n v="100"/>
    <n v="100"/>
    <n v="0"/>
    <s v="Unnamed ProjectID Verification.QueueNumber WaitingQueue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3"/>
    <x v="3"/>
    <x v="4"/>
    <x v="2"/>
    <n v="0"/>
    <n v="2E+20"/>
    <n v="0"/>
    <n v="0"/>
    <n v="0"/>
    <n v="0"/>
    <s v="Unnamed ProjectMeal Collection.QueueNumber WaitingQueue"/>
    <n v="5"/>
    <n v="0"/>
    <n v="0"/>
    <n v="0.95"/>
    <n v="0"/>
    <n v="0"/>
    <n v="0"/>
    <n v="0"/>
  </r>
  <r>
    <x v="0"/>
    <s v="2026-03-22 20:57:19"/>
    <n v="3"/>
    <x v="4"/>
    <x v="1"/>
    <x v="1"/>
    <n v="0"/>
    <n v="2E+20"/>
    <n v="0"/>
    <n v="0"/>
    <n v="0"/>
    <n v="0"/>
    <s v="Unnamed ProjectVerification StationsInstantaneous UtilizationResource"/>
    <n v="5"/>
    <n v="0"/>
    <n v="0"/>
    <n v="0.95"/>
    <n v="0"/>
    <n v="0"/>
    <n v="0"/>
    <n v="0"/>
  </r>
  <r>
    <x v="0"/>
    <s v="2026-03-22 20:57:19"/>
    <n v="3"/>
    <x v="4"/>
    <x v="2"/>
    <x v="1"/>
    <n v="0"/>
    <n v="2E+20"/>
    <n v="0"/>
    <n v="0"/>
    <n v="0"/>
    <n v="0"/>
    <s v="Unnamed ProjectVerification StationsNumber BusyResource"/>
    <n v="5"/>
    <n v="0"/>
    <n v="0"/>
    <n v="0.95"/>
    <n v="0"/>
    <n v="0"/>
    <n v="0"/>
    <n v="0"/>
  </r>
  <r>
    <x v="0"/>
    <s v="2026-03-22 20:57:19"/>
    <n v="3"/>
    <x v="4"/>
    <x v="3"/>
    <x v="1"/>
    <n v="1"/>
    <n v="2E+20"/>
    <n v="1"/>
    <n v="1"/>
    <n v="1"/>
    <n v="0"/>
    <s v="Unnamed ProjectVerification StationsNumber ScheduledResource"/>
    <n v="5"/>
    <n v="1"/>
    <n v="0"/>
    <n v="0.95"/>
    <n v="0"/>
    <n v="1"/>
    <n v="1"/>
    <n v="0"/>
  </r>
  <r>
    <x v="0"/>
    <s v="2026-03-22 20:57:19"/>
    <n v="4"/>
    <x v="0"/>
    <x v="0"/>
    <x v="0"/>
    <n v="97.323629595585402"/>
    <n v="2E+20"/>
    <n v="0"/>
    <n v="100"/>
    <n v="100"/>
    <n v="0"/>
    <s v="Unnamed ProjectEntity 1WIPEntity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4"/>
    <x v="1"/>
    <x v="1"/>
    <x v="1"/>
    <n v="0"/>
    <n v="2E+20"/>
    <n v="0"/>
    <n v="0"/>
    <n v="0"/>
    <n v="0"/>
    <s v="Unnamed ProjectFood countersInstantaneous UtilizationResource"/>
    <n v="5"/>
    <n v="0"/>
    <n v="0"/>
    <n v="0.95"/>
    <n v="0"/>
    <n v="0"/>
    <n v="0"/>
    <n v="0"/>
  </r>
  <r>
    <x v="0"/>
    <s v="2026-03-22 20:57:19"/>
    <n v="4"/>
    <x v="1"/>
    <x v="2"/>
    <x v="1"/>
    <n v="0"/>
    <n v="2E+20"/>
    <n v="0"/>
    <n v="0"/>
    <n v="0"/>
    <n v="0"/>
    <s v="Unnamed ProjectFood countersNumber BusyResource"/>
    <n v="5"/>
    <n v="0"/>
    <n v="0"/>
    <n v="0.95"/>
    <n v="0"/>
    <n v="0"/>
    <n v="0"/>
    <n v="0"/>
  </r>
  <r>
    <x v="0"/>
    <s v="2026-03-22 20:57:19"/>
    <n v="4"/>
    <x v="1"/>
    <x v="3"/>
    <x v="1"/>
    <n v="1"/>
    <n v="2E+20"/>
    <n v="1"/>
    <n v="1"/>
    <n v="1"/>
    <n v="0"/>
    <s v="Unnamed ProjectFood countersNumber ScheduledResource"/>
    <n v="5"/>
    <n v="1"/>
    <n v="0"/>
    <n v="0.95"/>
    <n v="0"/>
    <n v="1"/>
    <n v="1"/>
    <n v="0"/>
  </r>
  <r>
    <x v="0"/>
    <s v="2026-03-22 20:57:19"/>
    <n v="4"/>
    <x v="2"/>
    <x v="4"/>
    <x v="2"/>
    <n v="97.323629595585402"/>
    <n v="2E+20"/>
    <n v="0"/>
    <n v="100"/>
    <n v="100"/>
    <n v="0"/>
    <s v="Unnamed ProjectID Verification.QueueNumber WaitingQueue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4"/>
    <x v="3"/>
    <x v="4"/>
    <x v="2"/>
    <n v="0"/>
    <n v="2E+20"/>
    <n v="0"/>
    <n v="0"/>
    <n v="0"/>
    <n v="0"/>
    <s v="Unnamed ProjectMeal Collection.QueueNumber WaitingQueue"/>
    <n v="5"/>
    <n v="0"/>
    <n v="0"/>
    <n v="0.95"/>
    <n v="0"/>
    <n v="0"/>
    <n v="0"/>
    <n v="0"/>
  </r>
  <r>
    <x v="0"/>
    <s v="2026-03-22 20:57:19"/>
    <n v="4"/>
    <x v="4"/>
    <x v="1"/>
    <x v="1"/>
    <n v="0"/>
    <n v="2E+20"/>
    <n v="0"/>
    <n v="0"/>
    <n v="0"/>
    <n v="0"/>
    <s v="Unnamed ProjectVerification StationsInstantaneous UtilizationResource"/>
    <n v="5"/>
    <n v="0"/>
    <n v="0"/>
    <n v="0.95"/>
    <n v="0"/>
    <n v="0"/>
    <n v="0"/>
    <n v="0"/>
  </r>
  <r>
    <x v="0"/>
    <s v="2026-03-22 20:57:19"/>
    <n v="4"/>
    <x v="4"/>
    <x v="2"/>
    <x v="1"/>
    <n v="0"/>
    <n v="2E+20"/>
    <n v="0"/>
    <n v="0"/>
    <n v="0"/>
    <n v="0"/>
    <s v="Unnamed ProjectVerification StationsNumber BusyResource"/>
    <n v="5"/>
    <n v="0"/>
    <n v="0"/>
    <n v="0.95"/>
    <n v="0"/>
    <n v="0"/>
    <n v="0"/>
    <n v="0"/>
  </r>
  <r>
    <x v="0"/>
    <s v="2026-03-22 20:57:19"/>
    <n v="4"/>
    <x v="4"/>
    <x v="3"/>
    <x v="1"/>
    <n v="1"/>
    <n v="2E+20"/>
    <n v="1"/>
    <n v="1"/>
    <n v="1"/>
    <n v="0"/>
    <s v="Unnamed ProjectVerification StationsNumber ScheduledResource"/>
    <n v="5"/>
    <n v="1"/>
    <n v="0"/>
    <n v="0.95"/>
    <n v="0"/>
    <n v="1"/>
    <n v="1"/>
    <n v="0"/>
  </r>
  <r>
    <x v="0"/>
    <s v="2026-03-22 20:57:19"/>
    <n v="5"/>
    <x v="0"/>
    <x v="0"/>
    <x v="0"/>
    <n v="97.926871741282099"/>
    <n v="2E+20"/>
    <n v="0"/>
    <n v="100"/>
    <n v="100"/>
    <n v="0"/>
    <s v="Unnamed ProjectEntity 1WIPEntity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5"/>
    <x v="1"/>
    <x v="1"/>
    <x v="1"/>
    <n v="0"/>
    <n v="2E+20"/>
    <n v="0"/>
    <n v="0"/>
    <n v="0"/>
    <n v="0"/>
    <s v="Unnamed ProjectFood countersInstantaneous UtilizationResource"/>
    <n v="5"/>
    <n v="0"/>
    <n v="0"/>
    <n v="0.95"/>
    <n v="0"/>
    <n v="0"/>
    <n v="0"/>
    <n v="0"/>
  </r>
  <r>
    <x v="0"/>
    <s v="2026-03-22 20:57:19"/>
    <n v="5"/>
    <x v="1"/>
    <x v="2"/>
    <x v="1"/>
    <n v="0"/>
    <n v="2E+20"/>
    <n v="0"/>
    <n v="0"/>
    <n v="0"/>
    <n v="0"/>
    <s v="Unnamed ProjectFood countersNumber BusyResource"/>
    <n v="5"/>
    <n v="0"/>
    <n v="0"/>
    <n v="0.95"/>
    <n v="0"/>
    <n v="0"/>
    <n v="0"/>
    <n v="0"/>
  </r>
  <r>
    <x v="0"/>
    <s v="2026-03-22 20:57:19"/>
    <n v="5"/>
    <x v="1"/>
    <x v="3"/>
    <x v="1"/>
    <n v="1"/>
    <n v="2E+20"/>
    <n v="1"/>
    <n v="1"/>
    <n v="1"/>
    <n v="0"/>
    <s v="Unnamed ProjectFood countersNumber ScheduledResource"/>
    <n v="5"/>
    <n v="1"/>
    <n v="0"/>
    <n v="0.95"/>
    <n v="0"/>
    <n v="1"/>
    <n v="1"/>
    <n v="0"/>
  </r>
  <r>
    <x v="0"/>
    <s v="2026-03-22 20:57:19"/>
    <n v="5"/>
    <x v="2"/>
    <x v="4"/>
    <x v="2"/>
    <n v="97.926871741282099"/>
    <n v="2E+20"/>
    <n v="0"/>
    <n v="100"/>
    <n v="100"/>
    <n v="0"/>
    <s v="Unnamed ProjectID Verification.QueueNumber WaitingQueue"/>
    <n v="5"/>
    <n v="97.616834005058379"/>
    <n v="0.2873990681903531"/>
    <n v="0.95"/>
    <n v="0.35685307608927003"/>
    <n v="97.323629595585402"/>
    <n v="97.926871741282099"/>
    <n v="0.35685307608927003"/>
  </r>
  <r>
    <x v="0"/>
    <s v="2026-03-22 20:57:19"/>
    <n v="5"/>
    <x v="3"/>
    <x v="4"/>
    <x v="2"/>
    <n v="0"/>
    <n v="2E+20"/>
    <n v="0"/>
    <n v="0"/>
    <n v="0"/>
    <n v="0"/>
    <s v="Unnamed ProjectMeal Collection.QueueNumber WaitingQueue"/>
    <n v="5"/>
    <n v="0"/>
    <n v="0"/>
    <n v="0.95"/>
    <n v="0"/>
    <n v="0"/>
    <n v="0"/>
    <n v="0"/>
  </r>
  <r>
    <x v="0"/>
    <s v="2026-03-22 20:57:19"/>
    <n v="5"/>
    <x v="4"/>
    <x v="1"/>
    <x v="1"/>
    <n v="0"/>
    <n v="2E+20"/>
    <n v="0"/>
    <n v="0"/>
    <n v="0"/>
    <n v="0"/>
    <s v="Unnamed ProjectVerification StationsInstantaneous UtilizationResource"/>
    <n v="5"/>
    <n v="0"/>
    <n v="0"/>
    <n v="0.95"/>
    <n v="0"/>
    <n v="0"/>
    <n v="0"/>
    <n v="0"/>
  </r>
  <r>
    <x v="0"/>
    <s v="2026-03-22 20:57:19"/>
    <n v="5"/>
    <x v="4"/>
    <x v="2"/>
    <x v="1"/>
    <n v="0"/>
    <n v="2E+20"/>
    <n v="0"/>
    <n v="0"/>
    <n v="0"/>
    <n v="0"/>
    <s v="Unnamed ProjectVerification StationsNumber BusyResource"/>
    <n v="5"/>
    <n v="0"/>
    <n v="0"/>
    <n v="0.95"/>
    <n v="0"/>
    <n v="0"/>
    <n v="0"/>
    <n v="0"/>
  </r>
  <r>
    <x v="0"/>
    <s v="2026-03-22 20:57:19"/>
    <n v="5"/>
    <x v="4"/>
    <x v="3"/>
    <x v="1"/>
    <n v="1"/>
    <n v="2E+20"/>
    <n v="1"/>
    <n v="1"/>
    <n v="1"/>
    <n v="0"/>
    <s v="Unnamed ProjectVerification StationsNumber ScheduledResource"/>
    <n v="5"/>
    <n v="1"/>
    <n v="0"/>
    <n v="0.95"/>
    <n v="0"/>
    <n v="1"/>
    <n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5">
  <r>
    <x v="0"/>
    <s v="2026-03-22 20:57:19"/>
    <n v="1"/>
    <x v="0"/>
    <x v="0"/>
    <x v="0"/>
    <n v="100"/>
    <n v="0"/>
    <s v="Unnamed ProjectEntity 1.NumberInNumber InEntity"/>
    <n v="5"/>
    <n v="100"/>
    <n v="0"/>
    <n v="0.95"/>
    <n v="0"/>
    <n v="100"/>
    <n v="100"/>
  </r>
  <r>
    <x v="0"/>
    <s v="2026-03-22 20:57:19"/>
    <n v="1"/>
    <x v="1"/>
    <x v="1"/>
    <x v="0"/>
    <n v="0"/>
    <n v="0"/>
    <s v="Unnamed ProjectEntity 1.NumberOutNumber OutEntity"/>
    <n v="5"/>
    <n v="0"/>
    <n v="0"/>
    <n v="0.95"/>
    <n v="0"/>
    <n v="0"/>
    <n v="0"/>
  </r>
  <r>
    <x v="0"/>
    <s v="2026-03-22 20:57:19"/>
    <n v="1"/>
    <x v="2"/>
    <x v="2"/>
    <x v="1"/>
    <n v="0"/>
    <n v="0"/>
    <s v="Unnamed ProjectFood counters.NumberSeizedTotal Number SeizedResource"/>
    <n v="5"/>
    <n v="0"/>
    <n v="0"/>
    <n v="0.95"/>
    <n v="0"/>
    <n v="0"/>
    <n v="0"/>
  </r>
  <r>
    <x v="0"/>
    <s v="2026-03-22 20:57:19"/>
    <n v="1"/>
    <x v="3"/>
    <x v="3"/>
    <x v="1"/>
    <n v="0"/>
    <n v="0"/>
    <s v="Unnamed ProjectFood counters.ScheduledUtilizationScheduled UtilizationResource"/>
    <n v="5"/>
    <n v="0"/>
    <n v="0"/>
    <n v="0.95"/>
    <n v="0"/>
    <n v="0"/>
    <n v="0"/>
  </r>
  <r>
    <x v="0"/>
    <s v="2026-03-22 20:57:19"/>
    <n v="1"/>
    <x v="4"/>
    <x v="1"/>
    <x v="2"/>
    <n v="0"/>
    <n v="0"/>
    <s v="Unnamed ProjectSystem.NumberOutNumber OutSystem"/>
    <n v="5"/>
    <n v="0"/>
    <n v="0"/>
    <n v="0.95"/>
    <n v="0"/>
    <n v="0"/>
    <n v="0"/>
  </r>
  <r>
    <x v="0"/>
    <s v="2026-03-22 20:57:19"/>
    <n v="1"/>
    <x v="5"/>
    <x v="2"/>
    <x v="1"/>
    <n v="0"/>
    <n v="0"/>
    <s v="Unnamed ProjectVerification Stations.NumberSeizedTotal Number SeizedResource"/>
    <n v="5"/>
    <n v="0"/>
    <n v="0"/>
    <n v="0.95"/>
    <n v="0"/>
    <n v="0"/>
    <n v="0"/>
  </r>
  <r>
    <x v="0"/>
    <s v="2026-03-22 20:57:19"/>
    <n v="1"/>
    <x v="6"/>
    <x v="3"/>
    <x v="1"/>
    <n v="0"/>
    <n v="0"/>
    <s v="Unnamed ProjectVerification Stations.ScheduledUtilizationScheduled UtilizationResource"/>
    <n v="5"/>
    <n v="0"/>
    <n v="0"/>
    <n v="0.95"/>
    <n v="0"/>
    <n v="0"/>
    <n v="0"/>
  </r>
  <r>
    <x v="0"/>
    <s v="2026-03-22 20:57:19"/>
    <n v="2"/>
    <x v="0"/>
    <x v="0"/>
    <x v="0"/>
    <n v="100"/>
    <n v="0"/>
    <s v="Unnamed ProjectEntity 1.NumberInNumber InEntity"/>
    <n v="5"/>
    <n v="100"/>
    <n v="0"/>
    <n v="0.95"/>
    <n v="0"/>
    <n v="100"/>
    <n v="100"/>
  </r>
  <r>
    <x v="0"/>
    <s v="2026-03-22 20:57:19"/>
    <n v="2"/>
    <x v="1"/>
    <x v="1"/>
    <x v="0"/>
    <n v="0"/>
    <n v="0"/>
    <s v="Unnamed ProjectEntity 1.NumberOutNumber OutEntity"/>
    <n v="5"/>
    <n v="0"/>
    <n v="0"/>
    <n v="0.95"/>
    <n v="0"/>
    <n v="0"/>
    <n v="0"/>
  </r>
  <r>
    <x v="0"/>
    <s v="2026-03-22 20:57:19"/>
    <n v="2"/>
    <x v="2"/>
    <x v="2"/>
    <x v="1"/>
    <n v="0"/>
    <n v="0"/>
    <s v="Unnamed ProjectFood counters.NumberSeizedTotal Number SeizedResource"/>
    <n v="5"/>
    <n v="0"/>
    <n v="0"/>
    <n v="0.95"/>
    <n v="0"/>
    <n v="0"/>
    <n v="0"/>
  </r>
  <r>
    <x v="0"/>
    <s v="2026-03-22 20:57:19"/>
    <n v="2"/>
    <x v="3"/>
    <x v="3"/>
    <x v="1"/>
    <n v="0"/>
    <n v="0"/>
    <s v="Unnamed ProjectFood counters.ScheduledUtilizationScheduled UtilizationResource"/>
    <n v="5"/>
    <n v="0"/>
    <n v="0"/>
    <n v="0.95"/>
    <n v="0"/>
    <n v="0"/>
    <n v="0"/>
  </r>
  <r>
    <x v="0"/>
    <s v="2026-03-22 20:57:19"/>
    <n v="2"/>
    <x v="4"/>
    <x v="1"/>
    <x v="2"/>
    <n v="0"/>
    <n v="0"/>
    <s v="Unnamed ProjectSystem.NumberOutNumber OutSystem"/>
    <n v="5"/>
    <n v="0"/>
    <n v="0"/>
    <n v="0.95"/>
    <n v="0"/>
    <n v="0"/>
    <n v="0"/>
  </r>
  <r>
    <x v="0"/>
    <s v="2026-03-22 20:57:19"/>
    <n v="2"/>
    <x v="5"/>
    <x v="2"/>
    <x v="1"/>
    <n v="0"/>
    <n v="0"/>
    <s v="Unnamed ProjectVerification Stations.NumberSeizedTotal Number SeizedResource"/>
    <n v="5"/>
    <n v="0"/>
    <n v="0"/>
    <n v="0.95"/>
    <n v="0"/>
    <n v="0"/>
    <n v="0"/>
  </r>
  <r>
    <x v="0"/>
    <s v="2026-03-22 20:57:19"/>
    <n v="2"/>
    <x v="6"/>
    <x v="3"/>
    <x v="1"/>
    <n v="0"/>
    <n v="0"/>
    <s v="Unnamed ProjectVerification Stations.ScheduledUtilizationScheduled UtilizationResource"/>
    <n v="5"/>
    <n v="0"/>
    <n v="0"/>
    <n v="0.95"/>
    <n v="0"/>
    <n v="0"/>
    <n v="0"/>
  </r>
  <r>
    <x v="0"/>
    <s v="2026-03-22 20:57:19"/>
    <n v="3"/>
    <x v="0"/>
    <x v="0"/>
    <x v="0"/>
    <n v="100"/>
    <n v="0"/>
    <s v="Unnamed ProjectEntity 1.NumberInNumber InEntity"/>
    <n v="5"/>
    <n v="100"/>
    <n v="0"/>
    <n v="0.95"/>
    <n v="0"/>
    <n v="100"/>
    <n v="100"/>
  </r>
  <r>
    <x v="0"/>
    <s v="2026-03-22 20:57:19"/>
    <n v="3"/>
    <x v="1"/>
    <x v="1"/>
    <x v="0"/>
    <n v="0"/>
    <n v="0"/>
    <s v="Unnamed ProjectEntity 1.NumberOutNumber OutEntity"/>
    <n v="5"/>
    <n v="0"/>
    <n v="0"/>
    <n v="0.95"/>
    <n v="0"/>
    <n v="0"/>
    <n v="0"/>
  </r>
  <r>
    <x v="0"/>
    <s v="2026-03-22 20:57:19"/>
    <n v="3"/>
    <x v="2"/>
    <x v="2"/>
    <x v="1"/>
    <n v="0"/>
    <n v="0"/>
    <s v="Unnamed ProjectFood counters.NumberSeizedTotal Number SeizedResource"/>
    <n v="5"/>
    <n v="0"/>
    <n v="0"/>
    <n v="0.95"/>
    <n v="0"/>
    <n v="0"/>
    <n v="0"/>
  </r>
  <r>
    <x v="0"/>
    <s v="2026-03-22 20:57:19"/>
    <n v="3"/>
    <x v="3"/>
    <x v="3"/>
    <x v="1"/>
    <n v="0"/>
    <n v="0"/>
    <s v="Unnamed ProjectFood counters.ScheduledUtilizationScheduled UtilizationResource"/>
    <n v="5"/>
    <n v="0"/>
    <n v="0"/>
    <n v="0.95"/>
    <n v="0"/>
    <n v="0"/>
    <n v="0"/>
  </r>
  <r>
    <x v="0"/>
    <s v="2026-03-22 20:57:19"/>
    <n v="3"/>
    <x v="4"/>
    <x v="1"/>
    <x v="2"/>
    <n v="0"/>
    <n v="0"/>
    <s v="Unnamed ProjectSystem.NumberOutNumber OutSystem"/>
    <n v="5"/>
    <n v="0"/>
    <n v="0"/>
    <n v="0.95"/>
    <n v="0"/>
    <n v="0"/>
    <n v="0"/>
  </r>
  <r>
    <x v="0"/>
    <s v="2026-03-22 20:57:19"/>
    <n v="3"/>
    <x v="5"/>
    <x v="2"/>
    <x v="1"/>
    <n v="0"/>
    <n v="0"/>
    <s v="Unnamed ProjectVerification Stations.NumberSeizedTotal Number SeizedResource"/>
    <n v="5"/>
    <n v="0"/>
    <n v="0"/>
    <n v="0.95"/>
    <n v="0"/>
    <n v="0"/>
    <n v="0"/>
  </r>
  <r>
    <x v="0"/>
    <s v="2026-03-22 20:57:19"/>
    <n v="3"/>
    <x v="6"/>
    <x v="3"/>
    <x v="1"/>
    <n v="0"/>
    <n v="0"/>
    <s v="Unnamed ProjectVerification Stations.ScheduledUtilizationScheduled UtilizationResource"/>
    <n v="5"/>
    <n v="0"/>
    <n v="0"/>
    <n v="0.95"/>
    <n v="0"/>
    <n v="0"/>
    <n v="0"/>
  </r>
  <r>
    <x v="0"/>
    <s v="2026-03-22 20:57:19"/>
    <n v="4"/>
    <x v="0"/>
    <x v="0"/>
    <x v="0"/>
    <n v="100"/>
    <n v="0"/>
    <s v="Unnamed ProjectEntity 1.NumberInNumber InEntity"/>
    <n v="5"/>
    <n v="100"/>
    <n v="0"/>
    <n v="0.95"/>
    <n v="0"/>
    <n v="100"/>
    <n v="100"/>
  </r>
  <r>
    <x v="0"/>
    <s v="2026-03-22 20:57:19"/>
    <n v="4"/>
    <x v="1"/>
    <x v="1"/>
    <x v="0"/>
    <n v="0"/>
    <n v="0"/>
    <s v="Unnamed ProjectEntity 1.NumberOutNumber OutEntity"/>
    <n v="5"/>
    <n v="0"/>
    <n v="0"/>
    <n v="0.95"/>
    <n v="0"/>
    <n v="0"/>
    <n v="0"/>
  </r>
  <r>
    <x v="0"/>
    <s v="2026-03-22 20:57:19"/>
    <n v="4"/>
    <x v="2"/>
    <x v="2"/>
    <x v="1"/>
    <n v="0"/>
    <n v="0"/>
    <s v="Unnamed ProjectFood counters.NumberSeizedTotal Number SeizedResource"/>
    <n v="5"/>
    <n v="0"/>
    <n v="0"/>
    <n v="0.95"/>
    <n v="0"/>
    <n v="0"/>
    <n v="0"/>
  </r>
  <r>
    <x v="0"/>
    <s v="2026-03-22 20:57:19"/>
    <n v="4"/>
    <x v="3"/>
    <x v="3"/>
    <x v="1"/>
    <n v="0"/>
    <n v="0"/>
    <s v="Unnamed ProjectFood counters.ScheduledUtilizationScheduled UtilizationResource"/>
    <n v="5"/>
    <n v="0"/>
    <n v="0"/>
    <n v="0.95"/>
    <n v="0"/>
    <n v="0"/>
    <n v="0"/>
  </r>
  <r>
    <x v="0"/>
    <s v="2026-03-22 20:57:19"/>
    <n v="4"/>
    <x v="4"/>
    <x v="1"/>
    <x v="2"/>
    <n v="0"/>
    <n v="0"/>
    <s v="Unnamed ProjectSystem.NumberOutNumber OutSystem"/>
    <n v="5"/>
    <n v="0"/>
    <n v="0"/>
    <n v="0.95"/>
    <n v="0"/>
    <n v="0"/>
    <n v="0"/>
  </r>
  <r>
    <x v="0"/>
    <s v="2026-03-22 20:57:19"/>
    <n v="4"/>
    <x v="5"/>
    <x v="2"/>
    <x v="1"/>
    <n v="0"/>
    <n v="0"/>
    <s v="Unnamed ProjectVerification Stations.NumberSeizedTotal Number SeizedResource"/>
    <n v="5"/>
    <n v="0"/>
    <n v="0"/>
    <n v="0.95"/>
    <n v="0"/>
    <n v="0"/>
    <n v="0"/>
  </r>
  <r>
    <x v="0"/>
    <s v="2026-03-22 20:57:19"/>
    <n v="4"/>
    <x v="6"/>
    <x v="3"/>
    <x v="1"/>
    <n v="0"/>
    <n v="0"/>
    <s v="Unnamed ProjectVerification Stations.ScheduledUtilizationScheduled UtilizationResource"/>
    <n v="5"/>
    <n v="0"/>
    <n v="0"/>
    <n v="0.95"/>
    <n v="0"/>
    <n v="0"/>
    <n v="0"/>
  </r>
  <r>
    <x v="0"/>
    <s v="2026-03-22 20:57:19"/>
    <n v="5"/>
    <x v="0"/>
    <x v="0"/>
    <x v="0"/>
    <n v="100"/>
    <n v="0"/>
    <s v="Unnamed ProjectEntity 1.NumberInNumber InEntity"/>
    <n v="5"/>
    <n v="100"/>
    <n v="0"/>
    <n v="0.95"/>
    <n v="0"/>
    <n v="100"/>
    <n v="100"/>
  </r>
  <r>
    <x v="0"/>
    <s v="2026-03-22 20:57:19"/>
    <n v="5"/>
    <x v="1"/>
    <x v="1"/>
    <x v="0"/>
    <n v="0"/>
    <n v="0"/>
    <s v="Unnamed ProjectEntity 1.NumberOutNumber OutEntity"/>
    <n v="5"/>
    <n v="0"/>
    <n v="0"/>
    <n v="0.95"/>
    <n v="0"/>
    <n v="0"/>
    <n v="0"/>
  </r>
  <r>
    <x v="0"/>
    <s v="2026-03-22 20:57:19"/>
    <n v="5"/>
    <x v="2"/>
    <x v="2"/>
    <x v="1"/>
    <n v="0"/>
    <n v="0"/>
    <s v="Unnamed ProjectFood counters.NumberSeizedTotal Number SeizedResource"/>
    <n v="5"/>
    <n v="0"/>
    <n v="0"/>
    <n v="0.95"/>
    <n v="0"/>
    <n v="0"/>
    <n v="0"/>
  </r>
  <r>
    <x v="0"/>
    <s v="2026-03-22 20:57:19"/>
    <n v="5"/>
    <x v="3"/>
    <x v="3"/>
    <x v="1"/>
    <n v="0"/>
    <n v="0"/>
    <s v="Unnamed ProjectFood counters.ScheduledUtilizationScheduled UtilizationResource"/>
    <n v="5"/>
    <n v="0"/>
    <n v="0"/>
    <n v="0.95"/>
    <n v="0"/>
    <n v="0"/>
    <n v="0"/>
  </r>
  <r>
    <x v="0"/>
    <s v="2026-03-22 20:57:19"/>
    <n v="5"/>
    <x v="4"/>
    <x v="1"/>
    <x v="2"/>
    <n v="0"/>
    <n v="0"/>
    <s v="Unnamed ProjectSystem.NumberOutNumber OutSystem"/>
    <n v="5"/>
    <n v="0"/>
    <n v="0"/>
    <n v="0.95"/>
    <n v="0"/>
    <n v="0"/>
    <n v="0"/>
  </r>
  <r>
    <x v="0"/>
    <s v="2026-03-22 20:57:19"/>
    <n v="5"/>
    <x v="5"/>
    <x v="2"/>
    <x v="1"/>
    <n v="0"/>
    <n v="0"/>
    <s v="Unnamed ProjectVerification Stations.NumberSeizedTotal Number SeizedResource"/>
    <n v="5"/>
    <n v="0"/>
    <n v="0"/>
    <n v="0.95"/>
    <n v="0"/>
    <n v="0"/>
    <n v="0"/>
  </r>
  <r>
    <x v="0"/>
    <s v="2026-03-22 20:57:19"/>
    <n v="5"/>
    <x v="6"/>
    <x v="3"/>
    <x v="1"/>
    <n v="0"/>
    <n v="0"/>
    <s v="Unnamed ProjectVerification Stations.ScheduledUtilizationScheduled UtilizationResource"/>
    <n v="5"/>
    <n v="0"/>
    <n v="0"/>
    <n v="0.95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ContinuousTimePivot" cacheId="130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x="0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7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1"/>
        <item x="2"/>
        <item x="3"/>
        <item x="4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FrequencyPivot" cacheId="136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9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DiscreteTimePivot" cacheId="142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OutputPivot" cacheId="148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x="0"/>
        <item x="1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79"/>
        <item m="1" x="21"/>
        <item m="1" x="82"/>
        <item m="1" x="49"/>
        <item m="1" x="16"/>
        <item m="1" x="77"/>
        <item m="1" x="73"/>
        <item m="1" x="50"/>
        <item m="1" x="17"/>
        <item m="1" x="78"/>
        <item m="1" x="74"/>
        <item m="1" x="12"/>
        <item m="1" x="46"/>
        <item m="1" x="30"/>
        <item m="1" x="20"/>
        <item m="1" x="71"/>
        <item m="1" x="42"/>
        <item m="1" x="72"/>
        <item m="1" x="43"/>
        <item m="1" x="29"/>
        <item m="1" x="24"/>
        <item m="1" x="51"/>
        <item m="1" x="26"/>
        <item m="1" x="81"/>
        <item m="1" x="75"/>
        <item m="1" x="25"/>
        <item m="1" x="23"/>
        <item m="1" x="68"/>
        <item m="1" x="76"/>
        <item m="1" x="13"/>
        <item m="1" x="31"/>
        <item m="1" x="44"/>
        <item m="1" x="65"/>
        <item m="1" x="80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2"/>
        <item x="3"/>
        <item x="5"/>
        <item x="6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CounterPivot" cacheId="154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2" tableType="queryTable" insertRow="1" totalsRowShown="0">
  <autoFilter ref="A1:Y2"/>
  <sortState ref="A2:Y2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8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7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6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5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4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3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2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61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60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59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8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7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6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5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46" tableType="queryTable" totalsRowShown="0">
  <autoFilter ref="A1:U46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5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5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4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48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47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46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5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4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3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36" tableType="queryTable" totalsRowShown="0">
  <autoFilter ref="A1:P36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42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4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4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3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3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3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36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54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53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52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topLeftCell="C1"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11.269531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69</v>
      </c>
      <c r="C2" t="s">
        <v>70</v>
      </c>
      <c r="D2">
        <v>3</v>
      </c>
      <c r="E2">
        <v>5</v>
      </c>
      <c r="F2">
        <v>3</v>
      </c>
      <c r="G2">
        <f>0.95</f>
        <v>0.95</v>
      </c>
    </row>
  </sheetData>
  <phoneticPr fontId="2" type="noConversion"/>
  <conditionalFormatting sqref="D2">
    <cfRule type="expression" dxfId="34" priority="1">
      <formula>D2=3</formula>
    </cfRule>
    <cfRule type="expression" dxfId="33" priority="2">
      <formula>D2=2</formula>
    </cfRule>
    <cfRule type="expression" dxfId="32" priority="3">
      <formula>D2=1</formula>
    </cfRule>
    <cfRule type="expression" dxfId="31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11"/>
  <sheetViews>
    <sheetView tabSelected="1" workbookViewId="0"/>
  </sheetViews>
  <sheetFormatPr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customWidth="1"/>
    <col min="5" max="5" width="28.08984375" customWidth="1"/>
    <col min="6" max="6" width="19.36328125" customWidth="1"/>
    <col min="7" max="7" width="10" customWidth="1"/>
    <col min="8" max="9" width="26.1796875" customWidth="1"/>
    <col min="10" max="10" width="26.54296875" customWidth="1"/>
    <col min="11" max="11" width="15.7265625" customWidth="1"/>
    <col min="12" max="12" width="16.08984375" customWidth="1"/>
    <col min="13" max="13" width="28.7265625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customWidth="1"/>
    <col min="19" max="19" width="28.08984375" customWidth="1"/>
    <col min="20" max="20" width="11.81640625" bestFit="1" customWidth="1"/>
    <col min="21" max="21" width="26.1796875" customWidth="1"/>
    <col min="22" max="22" width="21.26953125" customWidth="1"/>
    <col min="23" max="23" width="21.6328125" customWidth="1"/>
    <col min="24" max="24" width="15.7265625" customWidth="1"/>
    <col min="25" max="25" width="16.08984375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customWidth="1"/>
    <col min="31" max="31" width="24.26953125" customWidth="1"/>
    <col min="32" max="32" width="10" customWidth="1"/>
    <col min="33" max="33" width="28.81640625" customWidth="1"/>
    <col min="34" max="34" width="19.1796875" customWidth="1"/>
    <col min="35" max="35" width="19.54296875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customWidth="1"/>
    <col min="41" max="41" width="24.26953125" customWidth="1"/>
    <col min="42" max="42" width="10" customWidth="1"/>
    <col min="43" max="43" width="28.81640625" customWidth="1"/>
    <col min="44" max="44" width="19.1796875" customWidth="1"/>
    <col min="45" max="45" width="19.54296875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customWidth="1"/>
    <col min="51" max="51" width="25.81640625" customWidth="1"/>
    <col min="52" max="52" width="26.6328125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65</v>
      </c>
      <c r="B3" t="s">
        <v>65</v>
      </c>
      <c r="C3" t="s">
        <v>65</v>
      </c>
      <c r="D3" t="s">
        <v>65</v>
      </c>
      <c r="E3" s="5"/>
      <c r="F3" s="5"/>
      <c r="G3" s="5"/>
      <c r="H3" s="5"/>
      <c r="I3" s="5"/>
      <c r="J3" s="5"/>
      <c r="K3" s="5"/>
      <c r="L3" s="5"/>
      <c r="M3" s="5"/>
      <c r="O3" t="s">
        <v>67</v>
      </c>
      <c r="P3" t="s">
        <v>71</v>
      </c>
      <c r="Q3" t="s">
        <v>72</v>
      </c>
      <c r="R3" t="s">
        <v>73</v>
      </c>
      <c r="S3" s="5">
        <v>97.616834005058379</v>
      </c>
      <c r="T3" s="5">
        <v>0.35685307608927003</v>
      </c>
      <c r="U3" s="5">
        <v>0.2873990681903531</v>
      </c>
      <c r="V3" s="5">
        <v>97.323629595585402</v>
      </c>
      <c r="W3" s="5">
        <v>97.926871741282099</v>
      </c>
      <c r="X3" s="5">
        <v>0</v>
      </c>
      <c r="Y3" s="5">
        <v>100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92</v>
      </c>
      <c r="AM3" t="s">
        <v>87</v>
      </c>
      <c r="AN3" t="s">
        <v>93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P4" t="s">
        <v>74</v>
      </c>
      <c r="Q4" t="s">
        <v>75</v>
      </c>
      <c r="R4" t="s">
        <v>76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84</v>
      </c>
      <c r="AM4" t="s">
        <v>85</v>
      </c>
      <c r="AN4" t="s">
        <v>73</v>
      </c>
      <c r="AO4" s="5">
        <v>100</v>
      </c>
      <c r="AP4" s="5">
        <v>0</v>
      </c>
      <c r="AQ4" s="5">
        <v>0</v>
      </c>
      <c r="AR4" s="5">
        <v>100</v>
      </c>
      <c r="AS4" s="5">
        <v>100</v>
      </c>
    </row>
    <row r="5" spans="1:52" x14ac:dyDescent="0.35">
      <c r="Q5" t="s">
        <v>77</v>
      </c>
      <c r="R5" t="s">
        <v>76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86</v>
      </c>
      <c r="AM5" t="s">
        <v>87</v>
      </c>
      <c r="AN5" t="s">
        <v>73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</row>
    <row r="6" spans="1:52" x14ac:dyDescent="0.35">
      <c r="Q6" t="s">
        <v>78</v>
      </c>
      <c r="R6" t="s">
        <v>76</v>
      </c>
      <c r="S6" s="5">
        <v>1</v>
      </c>
      <c r="T6" s="5">
        <v>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88</v>
      </c>
      <c r="AM6" t="s">
        <v>89</v>
      </c>
      <c r="AN6" t="s">
        <v>76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35">
      <c r="P7" t="s">
        <v>79</v>
      </c>
      <c r="Q7" t="s">
        <v>80</v>
      </c>
      <c r="R7" t="s">
        <v>81</v>
      </c>
      <c r="S7" s="5">
        <v>97.616834005058379</v>
      </c>
      <c r="T7" s="5">
        <v>0.35685307608927003</v>
      </c>
      <c r="U7" s="5">
        <v>0.2873990681903531</v>
      </c>
      <c r="V7" s="5">
        <v>97.323629595585402</v>
      </c>
      <c r="W7" s="5">
        <v>97.926871741282099</v>
      </c>
      <c r="X7" s="5">
        <v>0</v>
      </c>
      <c r="Y7" s="5">
        <v>100</v>
      </c>
      <c r="AL7" t="s">
        <v>90</v>
      </c>
      <c r="AM7" t="s">
        <v>91</v>
      </c>
      <c r="AN7" t="s">
        <v>76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35">
      <c r="P8" t="s">
        <v>82</v>
      </c>
      <c r="Q8" t="s">
        <v>80</v>
      </c>
      <c r="R8" t="s">
        <v>81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94</v>
      </c>
      <c r="AM8" t="s">
        <v>89</v>
      </c>
      <c r="AN8" t="s">
        <v>76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</row>
    <row r="9" spans="1:52" x14ac:dyDescent="0.35">
      <c r="P9" t="s">
        <v>83</v>
      </c>
      <c r="Q9" t="s">
        <v>75</v>
      </c>
      <c r="R9" t="s">
        <v>76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95</v>
      </c>
      <c r="AM9" t="s">
        <v>91</v>
      </c>
      <c r="AN9" t="s">
        <v>76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</row>
    <row r="10" spans="1:52" x14ac:dyDescent="0.35">
      <c r="Q10" t="s">
        <v>77</v>
      </c>
      <c r="R10" t="s">
        <v>76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</row>
    <row r="11" spans="1:52" x14ac:dyDescent="0.35">
      <c r="Q11" t="s">
        <v>78</v>
      </c>
      <c r="R11" t="s">
        <v>76</v>
      </c>
      <c r="S11" s="5">
        <v>1</v>
      </c>
      <c r="T11" s="5">
        <v>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</row>
  </sheetData>
  <dataConsolidate/>
  <conditionalFormatting pivot="1" sqref="G3">
    <cfRule type="expression" dxfId="30" priority="14">
      <formula>G3=200000000000000000000</formula>
    </cfRule>
  </conditionalFormatting>
  <conditionalFormatting pivot="1" sqref="T3:T11">
    <cfRule type="expression" dxfId="29" priority="13">
      <formula>T3=200000000000000000000</formula>
    </cfRule>
  </conditionalFormatting>
  <conditionalFormatting pivot="1" sqref="T3:T11">
    <cfRule type="expression" dxfId="28" priority="12">
      <formula>T3=300000000000000000000</formula>
    </cfRule>
  </conditionalFormatting>
  <conditionalFormatting pivot="1" sqref="G3">
    <cfRule type="expression" dxfId="27" priority="11">
      <formula>G3=300000000000000000000</formula>
    </cfRule>
  </conditionalFormatting>
  <conditionalFormatting pivot="1" sqref="F3">
    <cfRule type="expression" dxfId="26" priority="10">
      <formula>F3=0</formula>
    </cfRule>
  </conditionalFormatting>
  <conditionalFormatting pivot="1" sqref="F3">
    <cfRule type="expression" dxfId="25" priority="9">
      <formula>F3=1</formula>
    </cfRule>
  </conditionalFormatting>
  <conditionalFormatting pivot="1" sqref="T3:T11">
    <cfRule type="expression" dxfId="24" priority="8">
      <formula>T3=400000000000000000000</formula>
    </cfRule>
  </conditionalFormatting>
  <conditionalFormatting pivot="1" sqref="AP3:AP9">
    <cfRule type="expression" dxfId="23" priority="7">
      <formula>AP3=400000000000000000000</formula>
    </cfRule>
  </conditionalFormatting>
  <conditionalFormatting pivot="1" sqref="AF3">
    <cfRule type="expression" dxfId="22" priority="6">
      <formula>AF3=400000000000000000000</formula>
    </cfRule>
  </conditionalFormatting>
  <conditionalFormatting pivot="1" sqref="G3">
    <cfRule type="expression" dxfId="21" priority="5">
      <formula>G3=400000000000000000000</formula>
    </cfRule>
  </conditionalFormatting>
  <conditionalFormatting pivot="1" sqref="AZ3">
    <cfRule type="expression" dxfId="20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"/>
  <sheetViews>
    <sheetView workbookViewId="0">
      <selection activeCell="A2" sqref="A2:K61"/>
    </sheetView>
  </sheetViews>
  <sheetFormatPr defaultRowHeight="14.5" x14ac:dyDescent="0.35"/>
  <cols>
    <col min="1" max="1" width="14" customWidth="1"/>
    <col min="2" max="2" width="21.08984375" customWidth="1"/>
    <col min="3" max="3" width="12.36328125" customWidth="1"/>
    <col min="4" max="4" width="8" customWidth="1"/>
    <col min="5" max="5" width="7.08984375" customWidth="1"/>
    <col min="6" max="6" width="8.7265625" customWidth="1"/>
    <col min="7" max="7" width="9.81640625" customWidth="1"/>
    <col min="8" max="8" width="22.1796875" customWidth="1"/>
    <col min="9" max="9" width="11.1796875" customWidth="1"/>
    <col min="10" max="10" width="11.54296875" customWidth="1"/>
    <col min="11" max="11" width="21.1796875" customWidth="1"/>
    <col min="12" max="12" width="13.36328125" customWidth="1"/>
    <col min="13" max="13" width="16.08984375" customWidth="1"/>
    <col min="14" max="14" width="18.6328125" customWidth="1"/>
    <col min="15" max="15" width="16.7265625" customWidth="1"/>
    <col min="16" max="16" width="19" customWidth="1"/>
    <col min="17" max="17" width="11.6328125" bestFit="1" customWidth="1"/>
    <col min="18" max="18" width="18" customWidth="1"/>
    <col min="19" max="19" width="18.36328125" customWidth="1"/>
    <col min="20" max="20" width="17.1796875" customWidth="1"/>
    <col min="21" max="21" width="17.54296875" customWidth="1"/>
    <col min="22" max="22" width="28.08984375" customWidth="1"/>
    <col min="23" max="23" width="19.7265625" customWidth="1"/>
    <col min="24" max="24" width="22.7265625" bestFit="1" customWidth="1"/>
    <col min="25" max="25" width="21.1796875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</sheetData>
  <phoneticPr fontId="2" type="noConversion"/>
  <conditionalFormatting sqref="H2 Q2">
    <cfRule type="expression" dxfId="19" priority="23">
      <formula>H2=200000000000000000000</formula>
    </cfRule>
  </conditionalFormatting>
  <conditionalFormatting sqref="H2">
    <cfRule type="expression" dxfId="18" priority="21">
      <formula>H2=300000000000000000000</formula>
    </cfRule>
  </conditionalFormatting>
  <conditionalFormatting sqref="L2:Y2">
    <cfRule type="expression" dxfId="17" priority="19">
      <formula>MOD(ROW(),2)=0</formula>
    </cfRule>
  </conditionalFormatting>
  <conditionalFormatting sqref="Y2">
    <cfRule type="expression" dxfId="16" priority="14">
      <formula>Y2=0</formula>
    </cfRule>
    <cfRule type="expression" dxfId="15" priority="16">
      <formula>Y2=1</formula>
    </cfRule>
  </conditionalFormatting>
  <conditionalFormatting sqref="W2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 W2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6"/>
  <sheetViews>
    <sheetView topLeftCell="N1"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9.906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1.17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97.363654512468102</v>
      </c>
      <c r="H2">
        <v>2E+20</v>
      </c>
      <c r="I2">
        <v>0</v>
      </c>
      <c r="J2">
        <v>100</v>
      </c>
      <c r="K2">
        <v>100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97.323629595585402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97.926871741282099</v>
      </c>
      <c r="U2">
        <f>IF((ContinuousStatsTable[[#This Row],[RepsRequested]]&gt;1),ContinuousStatsTable[[#This Row],[HalfWidth]],ContinuousStatsTable[[#This Row],[BatchMeansHalfWidth]])</f>
        <v>0.35685307608927003</v>
      </c>
    </row>
    <row r="3" spans="1:21" x14ac:dyDescent="0.35">
      <c r="A3" t="s">
        <v>67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ProjectFood countersInstantaneous UtilizationResource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35">
      <c r="A4" t="s">
        <v>67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ProjectFood countersNumber BusyResource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5">
      <c r="A5" t="s">
        <v>67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ProjectFood countersNumber ScheduledResource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5">
      <c r="A6" t="s">
        <v>67</v>
      </c>
      <c r="B6" t="s">
        <v>70</v>
      </c>
      <c r="C6">
        <v>1</v>
      </c>
      <c r="D6" t="s">
        <v>79</v>
      </c>
      <c r="E6" t="s">
        <v>80</v>
      </c>
      <c r="F6" t="s">
        <v>81</v>
      </c>
      <c r="G6">
        <v>97.363654512468102</v>
      </c>
      <c r="H6">
        <v>2E+20</v>
      </c>
      <c r="I6">
        <v>0</v>
      </c>
      <c r="J6">
        <v>100</v>
      </c>
      <c r="K6">
        <v>100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ProjectID Verification.QueueNumber WaitingQueue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97.323629595585402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97.926871741282099</v>
      </c>
      <c r="U6">
        <f>IF((ContinuousStatsTable[[#This Row],[RepsRequested]]&gt;1),ContinuousStatsTable[[#This Row],[HalfWidth]],ContinuousStatsTable[[#This Row],[BatchMeansHalfWidth]])</f>
        <v>0.35685307608927003</v>
      </c>
    </row>
    <row r="7" spans="1:21" x14ac:dyDescent="0.35">
      <c r="A7" t="s">
        <v>67</v>
      </c>
      <c r="B7" t="s">
        <v>70</v>
      </c>
      <c r="C7">
        <v>1</v>
      </c>
      <c r="D7" t="s">
        <v>82</v>
      </c>
      <c r="E7" t="s">
        <v>80</v>
      </c>
      <c r="F7" t="s">
        <v>81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ProjectMeal Collection.QueueNumber WaitingQueue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67</v>
      </c>
      <c r="B8" t="s">
        <v>70</v>
      </c>
      <c r="C8">
        <v>1</v>
      </c>
      <c r="D8" t="s">
        <v>83</v>
      </c>
      <c r="E8" t="s">
        <v>75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ProjectVerification StationsInstantaneous UtilizationResource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35">
      <c r="A9" t="s">
        <v>67</v>
      </c>
      <c r="B9" t="s">
        <v>70</v>
      </c>
      <c r="C9">
        <v>1</v>
      </c>
      <c r="D9" t="s">
        <v>83</v>
      </c>
      <c r="E9" t="s">
        <v>77</v>
      </c>
      <c r="F9" t="s">
        <v>76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ProjectVerification StationsNumber BusyResource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5">
      <c r="A10" t="s">
        <v>67</v>
      </c>
      <c r="B10" t="s">
        <v>70</v>
      </c>
      <c r="C10">
        <v>1</v>
      </c>
      <c r="D10" t="s">
        <v>83</v>
      </c>
      <c r="E10" t="s">
        <v>78</v>
      </c>
      <c r="F10" t="s">
        <v>76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ProjectVerification StationsNumber ScheduledResource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5">
      <c r="A11" t="s">
        <v>67</v>
      </c>
      <c r="B11" t="s">
        <v>70</v>
      </c>
      <c r="C11">
        <v>2</v>
      </c>
      <c r="D11" t="s">
        <v>71</v>
      </c>
      <c r="E11" t="s">
        <v>72</v>
      </c>
      <c r="F11" t="s">
        <v>73</v>
      </c>
      <c r="G11">
        <v>97.567270593070504</v>
      </c>
      <c r="H11">
        <v>2E+20</v>
      </c>
      <c r="I11">
        <v>0</v>
      </c>
      <c r="J11">
        <v>100</v>
      </c>
      <c r="K11">
        <v>100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97.323629595585402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97.926871741282099</v>
      </c>
      <c r="U11">
        <f>IF((ContinuousStatsTable[[#This Row],[RepsRequested]]&gt;1),ContinuousStatsTable[[#This Row],[HalfWidth]],ContinuousStatsTable[[#This Row],[BatchMeansHalfWidth]])</f>
        <v>0.35685307608927003</v>
      </c>
    </row>
    <row r="12" spans="1:21" x14ac:dyDescent="0.35">
      <c r="A12" t="s">
        <v>67</v>
      </c>
      <c r="B12" t="s">
        <v>70</v>
      </c>
      <c r="C12">
        <v>2</v>
      </c>
      <c r="D12" t="s">
        <v>74</v>
      </c>
      <c r="E12" t="s">
        <v>75</v>
      </c>
      <c r="F12" t="s">
        <v>76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ProjectFood countersInstantaneous UtilizationResource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35">
      <c r="A13" t="s">
        <v>67</v>
      </c>
      <c r="B13" t="s">
        <v>70</v>
      </c>
      <c r="C13">
        <v>2</v>
      </c>
      <c r="D13" t="s">
        <v>74</v>
      </c>
      <c r="E13" t="s">
        <v>77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ProjectFood countersNumber BusyResource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67</v>
      </c>
      <c r="B14" t="s">
        <v>70</v>
      </c>
      <c r="C14">
        <v>2</v>
      </c>
      <c r="D14" t="s">
        <v>74</v>
      </c>
      <c r="E14" t="s">
        <v>78</v>
      </c>
      <c r="F14" t="s">
        <v>76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ProjectFood countersNumber ScheduledResource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35">
      <c r="A15" t="s">
        <v>67</v>
      </c>
      <c r="B15" t="s">
        <v>70</v>
      </c>
      <c r="C15">
        <v>2</v>
      </c>
      <c r="D15" t="s">
        <v>79</v>
      </c>
      <c r="E15" t="s">
        <v>80</v>
      </c>
      <c r="F15" t="s">
        <v>81</v>
      </c>
      <c r="G15">
        <v>97.567270593070504</v>
      </c>
      <c r="H15">
        <v>2E+20</v>
      </c>
      <c r="I15">
        <v>0</v>
      </c>
      <c r="J15">
        <v>100</v>
      </c>
      <c r="K15">
        <v>100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ProjectID Verification.QueueNumber WaitingQueue</v>
      </c>
      <c r="N15" s="5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>
        <f t="array" ref="O15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15" s="5">
        <f t="array" ref="P15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15" s="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15" s="5">
        <f t="array" ref="S15">MIN(IF((ContinuousStatsTable[GroupByKey]=ContinuousStatsTable[[#This Row],[GroupByKey]]),(ContinuousStatsTable[GroupByKey]=ContinuousStatsTable[[#This Row],[GroupByKey]])*ContinuousStatsTable[Average]))</f>
        <v>97.323629595585402</v>
      </c>
      <c r="T15" s="5">
        <f t="array" ref="T15">MAX(IF((ContinuousStatsTable[GroupByKey]=ContinuousStatsTable[[#This Row],[GroupByKey]]),(ContinuousStatsTable[GroupByKey]=ContinuousStatsTable[[#This Row],[GroupByKey]])*ContinuousStatsTable[Average]))</f>
        <v>97.926871741282099</v>
      </c>
      <c r="U15" s="5">
        <f>IF((ContinuousStatsTable[[#This Row],[RepsRequested]]&gt;1),ContinuousStatsTable[[#This Row],[HalfWidth]],ContinuousStatsTable[[#This Row],[BatchMeansHalfWidth]])</f>
        <v>0.35685307608927003</v>
      </c>
    </row>
    <row r="16" spans="1:21" x14ac:dyDescent="0.35">
      <c r="A16" t="s">
        <v>67</v>
      </c>
      <c r="B16" t="s">
        <v>70</v>
      </c>
      <c r="C16">
        <v>2</v>
      </c>
      <c r="D16" t="s">
        <v>82</v>
      </c>
      <c r="E16" t="s">
        <v>80</v>
      </c>
      <c r="F16" t="s">
        <v>81</v>
      </c>
      <c r="G16">
        <v>0</v>
      </c>
      <c r="H16">
        <v>2E+20</v>
      </c>
      <c r="I16">
        <v>0</v>
      </c>
      <c r="J16">
        <v>0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ProjectMeal Collection.QueueNumber WaitingQueue</v>
      </c>
      <c r="N16" s="5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>
        <f t="array" ref="O16">IFERROR(AVERAGE(IF((ContinuousStatsTable[GroupByKey]=ContinuousStatsTable[[#This Row],[GroupByKey]]),(ContinuousStatsTable[GroupByKey]=ContinuousStatsTable[[#This Row],[GroupByKey]])*ContinuousStatsTable[Average])),0)</f>
        <v>0</v>
      </c>
      <c r="P16" s="5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>
        <f t="array" ref="T16">MAX(IF((ContinuousStatsTable[GroupByKey]=ContinuousStatsTable[[#This Row],[GroupByKey]]),(ContinuousStatsTable[GroupByKey]=ContinuousStatsTable[[#This Row],[GroupByKey]])*ContinuousStatsTable[Average]))</f>
        <v>0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5">
      <c r="A17" t="s">
        <v>67</v>
      </c>
      <c r="B17" t="s">
        <v>70</v>
      </c>
      <c r="C17">
        <v>2</v>
      </c>
      <c r="D17" t="s">
        <v>83</v>
      </c>
      <c r="E17" t="s">
        <v>75</v>
      </c>
      <c r="F17" t="s">
        <v>76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ProjectVerification StationsInstantaneous UtilizationResource</v>
      </c>
      <c r="N17" s="5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>
        <f t="array" ref="O17">IFERROR(AVERAGE(IF((ContinuousStatsTable[GroupByKey]=ContinuousStatsTable[[#This Row],[GroupByKey]]),(ContinuousStatsTable[GroupByKey]=ContinuousStatsTable[[#This Row],[GroupByKey]])*ContinuousStatsTable[Average])),0)</f>
        <v>0</v>
      </c>
      <c r="P17" s="5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s="5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s="5">
        <f t="array" ref="T17">MAX(IF((ContinuousStatsTable[GroupByKey]=ContinuousStatsTable[[#This Row],[GroupByKey]]),(ContinuousStatsTable[GroupByKey]=ContinuousStatsTable[[#This Row],[GroupByKey]])*ContinuousStatsTable[Average]))</f>
        <v>0</v>
      </c>
      <c r="U17" s="5">
        <f>IF((ContinuousStatsTable[[#This Row],[RepsRequested]]&gt;1),ContinuousStatsTable[[#This Row],[HalfWidth]],ContinuousStatsTable[[#This Row],[BatchMeansHalfWidth]])</f>
        <v>0</v>
      </c>
    </row>
    <row r="18" spans="1:21" x14ac:dyDescent="0.35">
      <c r="A18" t="s">
        <v>67</v>
      </c>
      <c r="B18" t="s">
        <v>70</v>
      </c>
      <c r="C18">
        <v>2</v>
      </c>
      <c r="D18" t="s">
        <v>83</v>
      </c>
      <c r="E18" t="s">
        <v>77</v>
      </c>
      <c r="F18" t="s">
        <v>76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ProjectVerification StationsNumber BusyResource</v>
      </c>
      <c r="N18" s="5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67</v>
      </c>
      <c r="B19" t="s">
        <v>70</v>
      </c>
      <c r="C19">
        <v>2</v>
      </c>
      <c r="D19" t="s">
        <v>83</v>
      </c>
      <c r="E19" t="s">
        <v>78</v>
      </c>
      <c r="F19" t="s">
        <v>76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ProjectVerification StationsNumber ScheduledResource</v>
      </c>
      <c r="N19" s="5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35">
      <c r="A20" t="s">
        <v>67</v>
      </c>
      <c r="B20" t="s">
        <v>70</v>
      </c>
      <c r="C20">
        <v>3</v>
      </c>
      <c r="D20" t="s">
        <v>71</v>
      </c>
      <c r="E20" t="s">
        <v>72</v>
      </c>
      <c r="F20" t="s">
        <v>73</v>
      </c>
      <c r="G20">
        <v>97.902743582885805</v>
      </c>
      <c r="H20">
        <v>2E+20</v>
      </c>
      <c r="I20">
        <v>0</v>
      </c>
      <c r="J20">
        <v>100</v>
      </c>
      <c r="K20">
        <v>100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" s="5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>
        <f t="array" ref="O20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20" s="5">
        <f t="array" ref="P20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20" s="5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20" s="5">
        <f t="array" ref="S20">MIN(IF((ContinuousStatsTable[GroupByKey]=ContinuousStatsTable[[#This Row],[GroupByKey]]),(ContinuousStatsTable[GroupByKey]=ContinuousStatsTable[[#This Row],[GroupByKey]])*ContinuousStatsTable[Average]))</f>
        <v>97.323629595585402</v>
      </c>
      <c r="T20" s="5">
        <f t="array" ref="T20">MAX(IF((ContinuousStatsTable[GroupByKey]=ContinuousStatsTable[[#This Row],[GroupByKey]]),(ContinuousStatsTable[GroupByKey]=ContinuousStatsTable[[#This Row],[GroupByKey]])*ContinuousStatsTable[Average]))</f>
        <v>97.926871741282099</v>
      </c>
      <c r="U20" s="5">
        <f>IF((ContinuousStatsTable[[#This Row],[RepsRequested]]&gt;1),ContinuousStatsTable[[#This Row],[HalfWidth]],ContinuousStatsTable[[#This Row],[BatchMeansHalfWidth]])</f>
        <v>0.35685307608927003</v>
      </c>
    </row>
    <row r="21" spans="1:21" x14ac:dyDescent="0.35">
      <c r="A21" t="s">
        <v>67</v>
      </c>
      <c r="B21" t="s">
        <v>70</v>
      </c>
      <c r="C21">
        <v>3</v>
      </c>
      <c r="D21" t="s">
        <v>74</v>
      </c>
      <c r="E21" t="s">
        <v>75</v>
      </c>
      <c r="F21" t="s">
        <v>76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ProjectFood countersInstantaneous UtilizationResource</v>
      </c>
      <c r="N21" s="5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s="5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5">
      <c r="A22" t="s">
        <v>67</v>
      </c>
      <c r="B22" t="s">
        <v>70</v>
      </c>
      <c r="C22">
        <v>3</v>
      </c>
      <c r="D22" t="s">
        <v>74</v>
      </c>
      <c r="E22" t="s">
        <v>77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ProjectFood countersNumber BusyResource</v>
      </c>
      <c r="N22" s="5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67</v>
      </c>
      <c r="B23" t="s">
        <v>70</v>
      </c>
      <c r="C23">
        <v>3</v>
      </c>
      <c r="D23" t="s">
        <v>74</v>
      </c>
      <c r="E23" t="s">
        <v>78</v>
      </c>
      <c r="F23" t="s">
        <v>76</v>
      </c>
      <c r="G23">
        <v>1</v>
      </c>
      <c r="H23">
        <v>2E+20</v>
      </c>
      <c r="I23">
        <v>1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ProjectFood countersNumber ScheduledResource</v>
      </c>
      <c r="N23" s="5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>
        <f t="array" ref="O23">IFERROR(AVERAGE(IF((ContinuousStatsTable[GroupByKey]=ContinuousStatsTable[[#This Row],[GroupByKey]]),(ContinuousStatsTable[GroupByKey]=ContinuousStatsTable[[#This Row],[GroupByKey]])*ContinuousStatsTable[Average])),0)</f>
        <v>1</v>
      </c>
      <c r="P23" s="5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>
        <f t="array" ref="S23">MIN(IF((ContinuousStatsTable[GroupByKey]=ContinuousStatsTable[[#This Row],[GroupByKey]]),(ContinuousStatsTable[GroupByKey]=ContinuousStatsTable[[#This Row],[GroupByKey]])*ContinuousStatsTable[Average]))</f>
        <v>1</v>
      </c>
      <c r="T23" s="5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35">
      <c r="A24" t="s">
        <v>67</v>
      </c>
      <c r="B24" t="s">
        <v>70</v>
      </c>
      <c r="C24">
        <v>3</v>
      </c>
      <c r="D24" t="s">
        <v>79</v>
      </c>
      <c r="E24" t="s">
        <v>80</v>
      </c>
      <c r="F24" t="s">
        <v>81</v>
      </c>
      <c r="G24">
        <v>97.902743582885805</v>
      </c>
      <c r="H24">
        <v>2E+20</v>
      </c>
      <c r="I24">
        <v>0</v>
      </c>
      <c r="J24">
        <v>100</v>
      </c>
      <c r="K24">
        <v>100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ProjectID Verification.QueueNumber WaitingQueue</v>
      </c>
      <c r="N24" s="5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>
        <f t="array" ref="O24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24" s="5">
        <f t="array" ref="P24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24" s="5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24" s="5">
        <f t="array" ref="S24">MIN(IF((ContinuousStatsTable[GroupByKey]=ContinuousStatsTable[[#This Row],[GroupByKey]]),(ContinuousStatsTable[GroupByKey]=ContinuousStatsTable[[#This Row],[GroupByKey]])*ContinuousStatsTable[Average]))</f>
        <v>97.323629595585402</v>
      </c>
      <c r="T24" s="5">
        <f t="array" ref="T24">MAX(IF((ContinuousStatsTable[GroupByKey]=ContinuousStatsTable[[#This Row],[GroupByKey]]),(ContinuousStatsTable[GroupByKey]=ContinuousStatsTable[[#This Row],[GroupByKey]])*ContinuousStatsTable[Average]))</f>
        <v>97.926871741282099</v>
      </c>
      <c r="U24" s="5">
        <f>IF((ContinuousStatsTable[[#This Row],[RepsRequested]]&gt;1),ContinuousStatsTable[[#This Row],[HalfWidth]],ContinuousStatsTable[[#This Row],[BatchMeansHalfWidth]])</f>
        <v>0.35685307608927003</v>
      </c>
    </row>
    <row r="25" spans="1:21" x14ac:dyDescent="0.35">
      <c r="A25" t="s">
        <v>67</v>
      </c>
      <c r="B25" t="s">
        <v>70</v>
      </c>
      <c r="C25">
        <v>3</v>
      </c>
      <c r="D25" t="s">
        <v>82</v>
      </c>
      <c r="E25" t="s">
        <v>80</v>
      </c>
      <c r="F25" t="s">
        <v>81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ProjectMeal Collection.QueueNumber WaitingQueue</v>
      </c>
      <c r="N25" s="5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>
        <f t="array" ref="O25">IFERROR(AVERAGE(IF((ContinuousStatsTable[GroupByKey]=ContinuousStatsTable[[#This Row],[GroupByKey]]),(ContinuousStatsTable[GroupByKey]=ContinuousStatsTable[[#This Row],[GroupByKey]])*ContinuousStatsTable[Average])),0)</f>
        <v>0</v>
      </c>
      <c r="P25" s="5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>
        <f t="array" ref="T25">MAX(IF((ContinuousStatsTable[GroupByKey]=ContinuousStatsTable[[#This Row],[GroupByKey]]),(ContinuousStatsTable[GroupByKey]=ContinuousStatsTable[[#This Row],[GroupByKey]])*ContinuousStatsTable[Average]))</f>
        <v>0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5">
      <c r="A26" t="s">
        <v>67</v>
      </c>
      <c r="B26" t="s">
        <v>70</v>
      </c>
      <c r="C26">
        <v>3</v>
      </c>
      <c r="D26" t="s">
        <v>83</v>
      </c>
      <c r="E26" t="s">
        <v>75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ProjectVerification StationsInstantaneous UtilizationResource</v>
      </c>
      <c r="N26" s="5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>
        <f t="array" ref="O26">IFERROR(AVERAGE(IF((ContinuousStatsTable[GroupByKey]=ContinuousStatsTable[[#This Row],[GroupByKey]]),(ContinuousStatsTable[GroupByKey]=ContinuousStatsTable[[#This Row],[GroupByKey]])*ContinuousStatsTable[Average])),0)</f>
        <v>0</v>
      </c>
      <c r="P26" s="5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>
        <f t="array" ref="T26">MAX(IF((ContinuousStatsTable[GroupByKey]=ContinuousStatsTable[[#This Row],[GroupByKey]]),(ContinuousStatsTable[GroupByKey]=ContinuousStatsTable[[#This Row],[GroupByKey]])*ContinuousStatsTable[Average]))</f>
        <v>0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35">
      <c r="A27" t="s">
        <v>67</v>
      </c>
      <c r="B27" t="s">
        <v>70</v>
      </c>
      <c r="C27">
        <v>3</v>
      </c>
      <c r="D27" t="s">
        <v>83</v>
      </c>
      <c r="E27" t="s">
        <v>77</v>
      </c>
      <c r="F27" t="s">
        <v>76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ProjectVerification StationsNumber BusyResource</v>
      </c>
      <c r="N27" s="5">
        <f t="array" ref="N27">MAX(IF((ProjectInfoTable[ProjectName]=ContinuousStatsTable[[#This Row],[ProjectName]]),(ProjectInfoTable[ProjectName]=ContinuousStatsTable[[#This Row],[ProjectName]])*ProjectInfoTable[NumberOfReplications]))</f>
        <v>5</v>
      </c>
      <c r="O27" s="5">
        <f t="array" ref="O27">IFERROR(AVERAGE(IF((ContinuousStatsTable[GroupByKey]=ContinuousStatsTable[[#This Row],[GroupByKey]]),(ContinuousStatsTable[GroupByKey]=ContinuousStatsTable[[#This Row],[GroupByKey]])*ContinuousStatsTable[Average])),0)</f>
        <v>0</v>
      </c>
      <c r="P27" s="5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s="5">
        <f t="array" ref="T27">MAX(IF((ContinuousStatsTable[GroupByKey]=ContinuousStatsTable[[#This Row],[GroupByKey]]),(ContinuousStatsTable[GroupByKey]=ContinuousStatsTable[[#This Row],[GroupByKey]])*ContinuousStatsTable[Average]))</f>
        <v>0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35">
      <c r="A28" t="s">
        <v>67</v>
      </c>
      <c r="B28" t="s">
        <v>70</v>
      </c>
      <c r="C28">
        <v>3</v>
      </c>
      <c r="D28" t="s">
        <v>83</v>
      </c>
      <c r="E28" t="s">
        <v>78</v>
      </c>
      <c r="F28" t="s">
        <v>76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ProjectVerification StationsNumber ScheduledResource</v>
      </c>
      <c r="N28" s="5">
        <f t="array" ref="N28">MAX(IF((ProjectInfoTable[ProjectName]=ContinuousStatsTable[[#This Row],[ProjectName]]),(ProjectInfoTable[ProjectName]=ContinuousStatsTable[[#This Row],[ProjectName]])*ProjectInfoTable[NumberOfReplications]))</f>
        <v>5</v>
      </c>
      <c r="O28" s="5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5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5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 x14ac:dyDescent="0.35">
      <c r="A29" t="s">
        <v>67</v>
      </c>
      <c r="B29" t="s">
        <v>70</v>
      </c>
      <c r="C29">
        <v>4</v>
      </c>
      <c r="D29" t="s">
        <v>71</v>
      </c>
      <c r="E29" t="s">
        <v>72</v>
      </c>
      <c r="F29" t="s">
        <v>73</v>
      </c>
      <c r="G29">
        <v>97.323629595585402</v>
      </c>
      <c r="H29">
        <v>2E+20</v>
      </c>
      <c r="I29">
        <v>0</v>
      </c>
      <c r="J29">
        <v>100</v>
      </c>
      <c r="K29">
        <v>100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9" s="5">
        <f t="array" ref="N29">MAX(IF((ProjectInfoTable[ProjectName]=ContinuousStatsTable[[#This Row],[ProjectName]]),(ProjectInfoTable[ProjectName]=ContinuousStatsTable[[#This Row],[ProjectName]])*ProjectInfoTable[NumberOfReplications]))</f>
        <v>5</v>
      </c>
      <c r="O29" s="5">
        <f t="array" ref="O29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29" s="5">
        <f t="array" ref="P29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29" s="5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29" s="5">
        <f t="array" ref="S29">MIN(IF((ContinuousStatsTable[GroupByKey]=ContinuousStatsTable[[#This Row],[GroupByKey]]),(ContinuousStatsTable[GroupByKey]=ContinuousStatsTable[[#This Row],[GroupByKey]])*ContinuousStatsTable[Average]))</f>
        <v>97.323629595585402</v>
      </c>
      <c r="T29" s="5">
        <f t="array" ref="T29">MAX(IF((ContinuousStatsTable[GroupByKey]=ContinuousStatsTable[[#This Row],[GroupByKey]]),(ContinuousStatsTable[GroupByKey]=ContinuousStatsTable[[#This Row],[GroupByKey]])*ContinuousStatsTable[Average]))</f>
        <v>97.926871741282099</v>
      </c>
      <c r="U29" s="5">
        <f>IF((ContinuousStatsTable[[#This Row],[RepsRequested]]&gt;1),ContinuousStatsTable[[#This Row],[HalfWidth]],ContinuousStatsTable[[#This Row],[BatchMeansHalfWidth]])</f>
        <v>0.35685307608927003</v>
      </c>
    </row>
    <row r="30" spans="1:21" x14ac:dyDescent="0.35">
      <c r="A30" t="s">
        <v>67</v>
      </c>
      <c r="B30" t="s">
        <v>70</v>
      </c>
      <c r="C30">
        <v>4</v>
      </c>
      <c r="D30" t="s">
        <v>74</v>
      </c>
      <c r="E30" t="s">
        <v>75</v>
      </c>
      <c r="F30" t="s">
        <v>76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ProjectFood countersInstantaneous UtilizationResource</v>
      </c>
      <c r="N30" s="5">
        <f t="array" ref="N30">MAX(IF((ProjectInfoTable[ProjectName]=ContinuousStatsTable[[#This Row],[ProjectName]]),(ProjectInfoTable[ProjectName]=ContinuousStatsTable[[#This Row],[ProjectName]])*ProjectInfoTable[NumberOfReplications]))</f>
        <v>5</v>
      </c>
      <c r="O30" s="5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5">
      <c r="A31" t="s">
        <v>67</v>
      </c>
      <c r="B31" t="s">
        <v>70</v>
      </c>
      <c r="C31">
        <v>4</v>
      </c>
      <c r="D31" t="s">
        <v>74</v>
      </c>
      <c r="E31" t="s">
        <v>77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ProjectFood countersNumber BusyResource</v>
      </c>
      <c r="N31" s="5">
        <f t="array" ref="N31">MAX(IF((ProjectInfoTable[ProjectName]=ContinuousStatsTable[[#This Row],[ProjectName]]),(ProjectInfoTable[ProjectName]=ContinuousStatsTable[[#This Row],[ProjectName]])*ProjectInfoTable[NumberOfReplications]))</f>
        <v>5</v>
      </c>
      <c r="O31" s="5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35">
      <c r="A32" t="s">
        <v>67</v>
      </c>
      <c r="B32" t="s">
        <v>70</v>
      </c>
      <c r="C32">
        <v>4</v>
      </c>
      <c r="D32" t="s">
        <v>74</v>
      </c>
      <c r="E32" t="s">
        <v>78</v>
      </c>
      <c r="F32" t="s">
        <v>76</v>
      </c>
      <c r="G32">
        <v>1</v>
      </c>
      <c r="H32">
        <v>2E+20</v>
      </c>
      <c r="I32">
        <v>1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ProjectFood countersNumber ScheduledResource</v>
      </c>
      <c r="N32" s="5">
        <f t="array" ref="N32">MAX(IF((ProjectInfoTable[ProjectName]=ContinuousStatsTable[[#This Row],[ProjectName]]),(ProjectInfoTable[ProjectName]=ContinuousStatsTable[[#This Row],[ProjectName]])*ProjectInfoTable[NumberOfReplications]))</f>
        <v>5</v>
      </c>
      <c r="O32" s="5">
        <f t="array" ref="O32">IFERROR(AVERAGE(IF((ContinuousStatsTable[GroupByKey]=ContinuousStatsTable[[#This Row],[GroupByKey]]),(ContinuousStatsTable[GroupByKey]=ContinuousStatsTable[[#This Row],[GroupByKey]])*ContinuousStatsTable[Average])),0)</f>
        <v>1</v>
      </c>
      <c r="P32" s="5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>
        <f t="array" ref="S32">MIN(IF((ContinuousStatsTable[GroupByKey]=ContinuousStatsTable[[#This Row],[GroupByKey]]),(ContinuousStatsTable[GroupByKey]=ContinuousStatsTable[[#This Row],[GroupByKey]])*ContinuousStatsTable[Average]))</f>
        <v>1</v>
      </c>
      <c r="T32" s="5">
        <f t="array" ref="T32">MAX(IF((ContinuousStatsTable[GroupByKey]=ContinuousStatsTable[[#This Row],[GroupByKey]]),(ContinuousStatsTable[GroupByKey]=ContinuousStatsTable[[#This Row],[GroupByKey]])*ContinuousStatsTable[Average]))</f>
        <v>1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35">
      <c r="A33" t="s">
        <v>67</v>
      </c>
      <c r="B33" t="s">
        <v>70</v>
      </c>
      <c r="C33">
        <v>4</v>
      </c>
      <c r="D33" t="s">
        <v>79</v>
      </c>
      <c r="E33" t="s">
        <v>80</v>
      </c>
      <c r="F33" t="s">
        <v>81</v>
      </c>
      <c r="G33">
        <v>97.323629595585402</v>
      </c>
      <c r="H33">
        <v>2E+20</v>
      </c>
      <c r="I33">
        <v>0</v>
      </c>
      <c r="J33">
        <v>100</v>
      </c>
      <c r="K33">
        <v>100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ProjectID Verification.QueueNumber WaitingQueue</v>
      </c>
      <c r="N33" s="5">
        <f t="array" ref="N33">MAX(IF((ProjectInfoTable[ProjectName]=ContinuousStatsTable[[#This Row],[ProjectName]]),(ProjectInfoTable[ProjectName]=ContinuousStatsTable[[#This Row],[ProjectName]])*ProjectInfoTable[NumberOfReplications]))</f>
        <v>5</v>
      </c>
      <c r="O33" s="5">
        <f t="array" ref="O33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33" s="5">
        <f t="array" ref="P33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33" s="5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33" s="5">
        <f t="array" ref="S33">MIN(IF((ContinuousStatsTable[GroupByKey]=ContinuousStatsTable[[#This Row],[GroupByKey]]),(ContinuousStatsTable[GroupByKey]=ContinuousStatsTable[[#This Row],[GroupByKey]])*ContinuousStatsTable[Average]))</f>
        <v>97.323629595585402</v>
      </c>
      <c r="T33" s="5">
        <f t="array" ref="T33">MAX(IF((ContinuousStatsTable[GroupByKey]=ContinuousStatsTable[[#This Row],[GroupByKey]]),(ContinuousStatsTable[GroupByKey]=ContinuousStatsTable[[#This Row],[GroupByKey]])*ContinuousStatsTable[Average]))</f>
        <v>97.926871741282099</v>
      </c>
      <c r="U33" s="5">
        <f>IF((ContinuousStatsTable[[#This Row],[RepsRequested]]&gt;1),ContinuousStatsTable[[#This Row],[HalfWidth]],ContinuousStatsTable[[#This Row],[BatchMeansHalfWidth]])</f>
        <v>0.35685307608927003</v>
      </c>
    </row>
    <row r="34" spans="1:21" x14ac:dyDescent="0.35">
      <c r="A34" t="s">
        <v>67</v>
      </c>
      <c r="B34" t="s">
        <v>70</v>
      </c>
      <c r="C34">
        <v>4</v>
      </c>
      <c r="D34" t="s">
        <v>82</v>
      </c>
      <c r="E34" t="s">
        <v>80</v>
      </c>
      <c r="F34" t="s">
        <v>81</v>
      </c>
      <c r="G34">
        <v>0</v>
      </c>
      <c r="H34">
        <v>2E+20</v>
      </c>
      <c r="I34">
        <v>0</v>
      </c>
      <c r="J34">
        <v>0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ProjectMeal Collection.QueueNumber WaitingQueue</v>
      </c>
      <c r="N34" s="5">
        <f t="array" ref="N34">MAX(IF((ProjectInfoTable[ProjectName]=ContinuousStatsTable[[#This Row],[ProjectName]]),(ProjectInfoTable[ProjectName]=ContinuousStatsTable[[#This Row],[ProjectName]])*ProjectInfoTable[NumberOfReplications]))</f>
        <v>5</v>
      </c>
      <c r="O34" s="5">
        <f t="array" ref="O34">IFERROR(AVERAGE(IF((ContinuousStatsTable[GroupByKey]=ContinuousStatsTable[[#This Row],[GroupByKey]]),(ContinuousStatsTable[GroupByKey]=ContinuousStatsTable[[#This Row],[GroupByKey]])*ContinuousStatsTable[Average])),0)</f>
        <v>0</v>
      </c>
      <c r="P34" s="5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s="5">
        <f t="array" ref="S34">MIN(IF((ContinuousStatsTable[GroupByKey]=ContinuousStatsTable[[#This Row],[GroupByKey]]),(ContinuousStatsTable[GroupByKey]=ContinuousStatsTable[[#This Row],[GroupByKey]])*ContinuousStatsTable[Average]))</f>
        <v>0</v>
      </c>
      <c r="T34" s="5">
        <f t="array" ref="T34">MAX(IF((ContinuousStatsTable[GroupByKey]=ContinuousStatsTable[[#This Row],[GroupByKey]]),(ContinuousStatsTable[GroupByKey]=ContinuousStatsTable[[#This Row],[GroupByKey]])*ContinuousStatsTable[Average]))</f>
        <v>0</v>
      </c>
      <c r="U34" s="5">
        <f>IF((ContinuousStatsTable[[#This Row],[RepsRequested]]&gt;1),ContinuousStatsTable[[#This Row],[HalfWidth]],ContinuousStatsTable[[#This Row],[BatchMeansHalfWidth]])</f>
        <v>0</v>
      </c>
    </row>
    <row r="35" spans="1:21" x14ac:dyDescent="0.35">
      <c r="A35" t="s">
        <v>67</v>
      </c>
      <c r="B35" t="s">
        <v>70</v>
      </c>
      <c r="C35">
        <v>4</v>
      </c>
      <c r="D35" t="s">
        <v>83</v>
      </c>
      <c r="E35" t="s">
        <v>75</v>
      </c>
      <c r="F35" t="s">
        <v>76</v>
      </c>
      <c r="G35">
        <v>0</v>
      </c>
      <c r="H35">
        <v>2E+20</v>
      </c>
      <c r="I35">
        <v>0</v>
      </c>
      <c r="J35">
        <v>0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ProjectVerification StationsInstantaneous UtilizationResource</v>
      </c>
      <c r="N35" s="5">
        <f t="array" ref="N35">MAX(IF((ProjectInfoTable[ProjectName]=ContinuousStatsTable[[#This Row],[ProjectName]]),(ProjectInfoTable[ProjectName]=ContinuousStatsTable[[#This Row],[ProjectName]])*ProjectInfoTable[NumberOfReplications]))</f>
        <v>5</v>
      </c>
      <c r="O35" s="5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67</v>
      </c>
      <c r="B36" t="s">
        <v>70</v>
      </c>
      <c r="C36">
        <v>4</v>
      </c>
      <c r="D36" t="s">
        <v>83</v>
      </c>
      <c r="E36" t="s">
        <v>77</v>
      </c>
      <c r="F36" t="s">
        <v>76</v>
      </c>
      <c r="G36">
        <v>0</v>
      </c>
      <c r="H36">
        <v>2E+20</v>
      </c>
      <c r="I36">
        <v>0</v>
      </c>
      <c r="J36">
        <v>0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ProjectVerification StationsNumber BusyResource</v>
      </c>
      <c r="N36" s="5">
        <f t="array" ref="N36">MAX(IF((ProjectInfoTable[ProjectName]=ContinuousStatsTable[[#This Row],[ProjectName]]),(ProjectInfoTable[ProjectName]=ContinuousStatsTable[[#This Row],[ProjectName]])*ProjectInfoTable[NumberOfReplications]))</f>
        <v>5</v>
      </c>
      <c r="O36" s="5">
        <f t="array" ref="O36">IFERROR(AVERAGE(IF((ContinuousStatsTable[GroupByKey]=ContinuousStatsTable[[#This Row],[GroupByKey]]),(ContinuousStatsTable[GroupByKey]=ContinuousStatsTable[[#This Row],[GroupByKey]])*ContinuousStatsTable[Average])),0)</f>
        <v>0</v>
      </c>
      <c r="P36" s="5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>
        <f t="array" ref="T36">MAX(IF((ContinuousStatsTable[GroupByKey]=ContinuousStatsTable[[#This Row],[GroupByKey]]),(ContinuousStatsTable[GroupByKey]=ContinuousStatsTable[[#This Row],[GroupByKey]])*ContinuousStatsTable[Average]))</f>
        <v>0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35">
      <c r="A37" t="s">
        <v>67</v>
      </c>
      <c r="B37" t="s">
        <v>70</v>
      </c>
      <c r="C37">
        <v>4</v>
      </c>
      <c r="D37" t="s">
        <v>83</v>
      </c>
      <c r="E37" t="s">
        <v>78</v>
      </c>
      <c r="F37" t="s">
        <v>76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ProjectVerification StationsNumber ScheduledResource</v>
      </c>
      <c r="N37" s="5">
        <f t="array" ref="N37">MAX(IF((ProjectInfoTable[ProjectName]=ContinuousStatsTable[[#This Row],[ProjectName]]),(ProjectInfoTable[ProjectName]=ContinuousStatsTable[[#This Row],[ProjectName]])*ProjectInfoTable[NumberOfReplications]))</f>
        <v>5</v>
      </c>
      <c r="O37" s="5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s="5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s="5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35">
      <c r="A38" t="s">
        <v>67</v>
      </c>
      <c r="B38" t="s">
        <v>70</v>
      </c>
      <c r="C38">
        <v>5</v>
      </c>
      <c r="D38" t="s">
        <v>71</v>
      </c>
      <c r="E38" t="s">
        <v>72</v>
      </c>
      <c r="F38" t="s">
        <v>73</v>
      </c>
      <c r="G38">
        <v>97.926871741282099</v>
      </c>
      <c r="H38">
        <v>2E+20</v>
      </c>
      <c r="I38">
        <v>0</v>
      </c>
      <c r="J38">
        <v>100</v>
      </c>
      <c r="K38">
        <v>100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8" s="5">
        <f t="array" ref="N38">MAX(IF((ProjectInfoTable[ProjectName]=ContinuousStatsTable[[#This Row],[ProjectName]]),(ProjectInfoTable[ProjectName]=ContinuousStatsTable[[#This Row],[ProjectName]])*ProjectInfoTable[NumberOfReplications]))</f>
        <v>5</v>
      </c>
      <c r="O38" s="5">
        <f t="array" ref="O38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38" s="5">
        <f t="array" ref="P38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38" s="5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38" s="5">
        <f t="array" ref="S38">MIN(IF((ContinuousStatsTable[GroupByKey]=ContinuousStatsTable[[#This Row],[GroupByKey]]),(ContinuousStatsTable[GroupByKey]=ContinuousStatsTable[[#This Row],[GroupByKey]])*ContinuousStatsTable[Average]))</f>
        <v>97.323629595585402</v>
      </c>
      <c r="T38" s="5">
        <f t="array" ref="T38">MAX(IF((ContinuousStatsTable[GroupByKey]=ContinuousStatsTable[[#This Row],[GroupByKey]]),(ContinuousStatsTable[GroupByKey]=ContinuousStatsTable[[#This Row],[GroupByKey]])*ContinuousStatsTable[Average]))</f>
        <v>97.926871741282099</v>
      </c>
      <c r="U38" s="5">
        <f>IF((ContinuousStatsTable[[#This Row],[RepsRequested]]&gt;1),ContinuousStatsTable[[#This Row],[HalfWidth]],ContinuousStatsTable[[#This Row],[BatchMeansHalfWidth]])</f>
        <v>0.35685307608927003</v>
      </c>
    </row>
    <row r="39" spans="1:21" x14ac:dyDescent="0.35">
      <c r="A39" t="s">
        <v>67</v>
      </c>
      <c r="B39" t="s">
        <v>70</v>
      </c>
      <c r="C39">
        <v>5</v>
      </c>
      <c r="D39" t="s">
        <v>74</v>
      </c>
      <c r="E39" t="s">
        <v>75</v>
      </c>
      <c r="F39" t="s">
        <v>76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ProjectFood countersInstantaneous UtilizationResource</v>
      </c>
      <c r="N39" s="5">
        <f t="array" ref="N39">MAX(IF((ProjectInfoTable[ProjectName]=ContinuousStatsTable[[#This Row],[ProjectName]]),(ProjectInfoTable[ProjectName]=ContinuousStatsTable[[#This Row],[ProjectName]])*ProjectInfoTable[NumberOfReplications]))</f>
        <v>5</v>
      </c>
      <c r="O39" s="5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s="5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35">
      <c r="A40" t="s">
        <v>67</v>
      </c>
      <c r="B40" t="s">
        <v>70</v>
      </c>
      <c r="C40">
        <v>5</v>
      </c>
      <c r="D40" t="s">
        <v>74</v>
      </c>
      <c r="E40" t="s">
        <v>77</v>
      </c>
      <c r="F40" t="s">
        <v>76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ProjectFood countersNumber BusyResource</v>
      </c>
      <c r="N40" s="5">
        <f t="array" ref="N40">MAX(IF((ProjectInfoTable[ProjectName]=ContinuousStatsTable[[#This Row],[ProjectName]]),(ProjectInfoTable[ProjectName]=ContinuousStatsTable[[#This Row],[ProjectName]])*ProjectInfoTable[NumberOfReplications]))</f>
        <v>5</v>
      </c>
      <c r="O40" s="5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s="5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s="5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67</v>
      </c>
      <c r="B41" t="s">
        <v>70</v>
      </c>
      <c r="C41">
        <v>5</v>
      </c>
      <c r="D41" t="s">
        <v>74</v>
      </c>
      <c r="E41" t="s">
        <v>78</v>
      </c>
      <c r="F41" t="s">
        <v>76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ProjectFood countersNumber ScheduledResource</v>
      </c>
      <c r="N41" s="5">
        <f t="array" ref="N41">MAX(IF((ProjectInfoTable[ProjectName]=ContinuousStatsTable[[#This Row],[ProjectName]]),(ProjectInfoTable[ProjectName]=ContinuousStatsTable[[#This Row],[ProjectName]])*ProjectInfoTable[NumberOfReplications]))</f>
        <v>5</v>
      </c>
      <c r="O41" s="5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s="5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s="5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s="5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s="5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 s="5">
        <f>IF((ContinuousStatsTable[[#This Row],[RepsRequested]]&gt;1),ContinuousStatsTable[[#This Row],[HalfWidth]],ContinuousStatsTable[[#This Row],[BatchMeansHalfWidth]])</f>
        <v>0</v>
      </c>
    </row>
    <row r="42" spans="1:21" x14ac:dyDescent="0.35">
      <c r="A42" t="s">
        <v>67</v>
      </c>
      <c r="B42" t="s">
        <v>70</v>
      </c>
      <c r="C42">
        <v>5</v>
      </c>
      <c r="D42" t="s">
        <v>79</v>
      </c>
      <c r="E42" t="s">
        <v>80</v>
      </c>
      <c r="F42" t="s">
        <v>81</v>
      </c>
      <c r="G42">
        <v>97.926871741282099</v>
      </c>
      <c r="H42">
        <v>2E+20</v>
      </c>
      <c r="I42">
        <v>0</v>
      </c>
      <c r="J42">
        <v>100</v>
      </c>
      <c r="K42">
        <v>100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ProjectID Verification.QueueNumber WaitingQueue</v>
      </c>
      <c r="N42" s="5">
        <f t="array" ref="N42">MAX(IF((ProjectInfoTable[ProjectName]=ContinuousStatsTable[[#This Row],[ProjectName]]),(ProjectInfoTable[ProjectName]=ContinuousStatsTable[[#This Row],[ProjectName]])*ProjectInfoTable[NumberOfReplications]))</f>
        <v>5</v>
      </c>
      <c r="O42" s="5">
        <f t="array" ref="O42">IFERROR(AVERAGE(IF((ContinuousStatsTable[GroupByKey]=ContinuousStatsTable[[#This Row],[GroupByKey]]),(ContinuousStatsTable[GroupByKey]=ContinuousStatsTable[[#This Row],[GroupByKey]])*ContinuousStatsTable[Average])),0)</f>
        <v>97.616834005058379</v>
      </c>
      <c r="P42" s="5">
        <f t="array" ref="P42">IFERROR(_xlfn.STDEV.S(IF((ContinuousStatsTable[GroupByKey]=ContinuousStatsTable[[#This Row],[GroupByKey]]),(ContinuousStatsTable[GroupByKey]=ContinuousStatsTable[[#This Row],[GroupByKey]])*ContinuousStatsTable[Average])),0)</f>
        <v>0.2873990681903531</v>
      </c>
      <c r="Q42" s="5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0.35685307608927003</v>
      </c>
      <c r="S42" s="5">
        <f t="array" ref="S42">MIN(IF((ContinuousStatsTable[GroupByKey]=ContinuousStatsTable[[#This Row],[GroupByKey]]),(ContinuousStatsTable[GroupByKey]=ContinuousStatsTable[[#This Row],[GroupByKey]])*ContinuousStatsTable[Average]))</f>
        <v>97.323629595585402</v>
      </c>
      <c r="T42" s="5">
        <f t="array" ref="T42">MAX(IF((ContinuousStatsTable[GroupByKey]=ContinuousStatsTable[[#This Row],[GroupByKey]]),(ContinuousStatsTable[GroupByKey]=ContinuousStatsTable[[#This Row],[GroupByKey]])*ContinuousStatsTable[Average]))</f>
        <v>97.926871741282099</v>
      </c>
      <c r="U42" s="5">
        <f>IF((ContinuousStatsTable[[#This Row],[RepsRequested]]&gt;1),ContinuousStatsTable[[#This Row],[HalfWidth]],ContinuousStatsTable[[#This Row],[BatchMeansHalfWidth]])</f>
        <v>0.35685307608927003</v>
      </c>
    </row>
    <row r="43" spans="1:21" x14ac:dyDescent="0.35">
      <c r="A43" t="s">
        <v>67</v>
      </c>
      <c r="B43" t="s">
        <v>70</v>
      </c>
      <c r="C43">
        <v>5</v>
      </c>
      <c r="D43" t="s">
        <v>82</v>
      </c>
      <c r="E43" t="s">
        <v>80</v>
      </c>
      <c r="F43" t="s">
        <v>81</v>
      </c>
      <c r="G43">
        <v>0</v>
      </c>
      <c r="H43">
        <v>2E+20</v>
      </c>
      <c r="I43">
        <v>0</v>
      </c>
      <c r="J43">
        <v>0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ProjectMeal Collection.QueueNumber WaitingQueue</v>
      </c>
      <c r="N43" s="5">
        <f t="array" ref="N43">MAX(IF((ProjectInfoTable[ProjectName]=ContinuousStatsTable[[#This Row],[ProjectName]]),(ProjectInfoTable[ProjectName]=ContinuousStatsTable[[#This Row],[ProjectName]])*ProjectInfoTable[NumberOfReplications]))</f>
        <v>5</v>
      </c>
      <c r="O43" s="5">
        <f t="array" ref="O43">IFERROR(AVERAGE(IF((ContinuousStatsTable[GroupByKey]=ContinuousStatsTable[[#This Row],[GroupByKey]]),(ContinuousStatsTable[GroupByKey]=ContinuousStatsTable[[#This Row],[GroupByKey]])*ContinuousStatsTable[Average])),0)</f>
        <v>0</v>
      </c>
      <c r="P43" s="5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>
        <f t="array" ref="S43">MIN(IF((ContinuousStatsTable[GroupByKey]=ContinuousStatsTable[[#This Row],[GroupByKey]]),(ContinuousStatsTable[GroupByKey]=ContinuousStatsTable[[#This Row],[GroupByKey]])*ContinuousStatsTable[Average]))</f>
        <v>0</v>
      </c>
      <c r="T43" s="5">
        <f t="array" ref="T43">MAX(IF((ContinuousStatsTable[GroupByKey]=ContinuousStatsTable[[#This Row],[GroupByKey]]),(ContinuousStatsTable[GroupByKey]=ContinuousStatsTable[[#This Row],[GroupByKey]])*ContinuousStatsTable[Average]))</f>
        <v>0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35">
      <c r="A44" t="s">
        <v>67</v>
      </c>
      <c r="B44" t="s">
        <v>70</v>
      </c>
      <c r="C44">
        <v>5</v>
      </c>
      <c r="D44" t="s">
        <v>83</v>
      </c>
      <c r="E44" t="s">
        <v>75</v>
      </c>
      <c r="F44" t="s">
        <v>76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ProjectVerification StationsInstantaneous UtilizationResource</v>
      </c>
      <c r="N44" s="5">
        <f t="array" ref="N44">MAX(IF((ProjectInfoTable[ProjectName]=ContinuousStatsTable[[#This Row],[ProjectName]]),(ProjectInfoTable[ProjectName]=ContinuousStatsTable[[#This Row],[ProjectName]])*ProjectInfoTable[NumberOfReplications]))</f>
        <v>5</v>
      </c>
      <c r="O44" s="5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s="5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67</v>
      </c>
      <c r="B45" t="s">
        <v>70</v>
      </c>
      <c r="C45">
        <v>5</v>
      </c>
      <c r="D45" t="s">
        <v>83</v>
      </c>
      <c r="E45" t="s">
        <v>77</v>
      </c>
      <c r="F45" t="s">
        <v>76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ProjectVerification StationsNumber BusyResource</v>
      </c>
      <c r="N45" s="5">
        <f t="array" ref="N45">MAX(IF((ProjectInfoTable[ProjectName]=ContinuousStatsTable[[#This Row],[ProjectName]]),(ProjectInfoTable[ProjectName]=ContinuousStatsTable[[#This Row],[ProjectName]])*ProjectInfoTable[NumberOfReplications]))</f>
        <v>5</v>
      </c>
      <c r="O45" s="5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5">
      <c r="A46" t="s">
        <v>67</v>
      </c>
      <c r="B46" t="s">
        <v>70</v>
      </c>
      <c r="C46">
        <v>5</v>
      </c>
      <c r="D46" t="s">
        <v>83</v>
      </c>
      <c r="E46" t="s">
        <v>78</v>
      </c>
      <c r="F46" t="s">
        <v>76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ProjectVerification StationsNumber ScheduledResource</v>
      </c>
      <c r="N46" s="5">
        <f t="array" ref="N46">MAX(IF((ProjectInfoTable[ProjectName]=ContinuousStatsTable[[#This Row],[ProjectName]]),(ProjectInfoTable[ProjectName]=ContinuousStatsTable[[#This Row],[ProjectName]])*ProjectInfoTable[NumberOfReplications]))</f>
        <v>5</v>
      </c>
      <c r="O46" s="5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46">
    <cfRule type="expression" dxfId="11" priority="9">
      <formula>H2=200000000000000000000</formula>
    </cfRule>
  </conditionalFormatting>
  <conditionalFormatting sqref="H2:H46">
    <cfRule type="expression" dxfId="10" priority="7">
      <formula>H2=300000000000000000000</formula>
    </cfRule>
  </conditionalFormatting>
  <conditionalFormatting sqref="M2:U46">
    <cfRule type="expression" dxfId="9" priority="5">
      <formula>MOD(ROW(),2)=0</formula>
    </cfRule>
  </conditionalFormatting>
  <conditionalFormatting sqref="U2:U4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6 U2:U4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6"/>
  <sheetViews>
    <sheetView topLeftCell="A5"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5.36328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75.6328125" bestFit="1" customWidth="1"/>
    <col min="10" max="10" width="16.08984375" bestFit="1" customWidth="1"/>
    <col min="11" max="11" width="9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5" width="11.1796875" bestFit="1" customWidth="1"/>
    <col min="16" max="16" width="11.542968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70</v>
      </c>
      <c r="C2">
        <v>1</v>
      </c>
      <c r="D2" t="s">
        <v>84</v>
      </c>
      <c r="E2" t="s">
        <v>85</v>
      </c>
      <c r="F2" t="s">
        <v>73</v>
      </c>
      <c r="G2">
        <v>100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5</v>
      </c>
      <c r="K2">
        <f t="array" ref="K2">IFERROR(AVERAGE(IF((OutputTable[GroupByKey]=OutputTable[[#This Row],[GroupByKey]]),(OutputTable[GroupByKey]=OutputTable[[#This Row],[GroupByKey]])*OutputTable[RecordedValue])),0)</f>
        <v>100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>
        <f t="array" ref="O2">MIN(IF((OutputTable[GroupByKey]=OutputTable[[#This Row],[GroupByKey]]),(OutputTable[GroupByKey]=OutputTable[[#This Row],[GroupByKey]])*OutputTable[RecordedValue]))</f>
        <v>100</v>
      </c>
      <c r="P2">
        <f t="array" ref="P2">MAX(IF((OutputTable[GroupByKey]=OutputTable[[#This Row],[GroupByKey]]),(OutputTable[GroupByKey]=OutputTable[[#This Row],[GroupByKey]])*OutputTable[RecordedValue]))</f>
        <v>100</v>
      </c>
    </row>
    <row r="3" spans="1:16" x14ac:dyDescent="0.35">
      <c r="A3" t="s">
        <v>67</v>
      </c>
      <c r="B3" t="s">
        <v>70</v>
      </c>
      <c r="C3">
        <v>1</v>
      </c>
      <c r="D3" t="s">
        <v>86</v>
      </c>
      <c r="E3" t="s">
        <v>87</v>
      </c>
      <c r="F3" t="s">
        <v>73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5</v>
      </c>
      <c r="K3">
        <f t="array" ref="K3">IFERROR(AVERAGE(IF((OutputTable[GroupByKey]=OutputTable[[#This Row],[GroupByKey]]),(OutputTable[GroupByKey]=OutputTable[[#This Row],[GroupByKey]])*OutputTable[RecordedValue])),0)</f>
        <v>0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">
        <f t="array" ref="O3">MIN(IF((OutputTable[GroupByKey]=OutputTable[[#This Row],[GroupByKey]]),(OutputTable[GroupByKey]=OutputTable[[#This Row],[GroupByKey]])*OutputTable[RecordedValue]))</f>
        <v>0</v>
      </c>
      <c r="P3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35">
      <c r="A4" t="s">
        <v>67</v>
      </c>
      <c r="B4" t="s">
        <v>70</v>
      </c>
      <c r="C4">
        <v>1</v>
      </c>
      <c r="D4" t="s">
        <v>88</v>
      </c>
      <c r="E4" t="s">
        <v>89</v>
      </c>
      <c r="F4" t="s">
        <v>76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ProjectFood counters.NumberSeizedTotal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5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>
        <f t="array" ref="O4">MIN(IF((OutputTable[GroupByKey]=OutputTable[[#This Row],[GroupByKey]]),(OutputTable[GroupByKey]=OutputTable[[#This Row],[GroupByKey]])*OutputTable[RecordedValue]))</f>
        <v>0</v>
      </c>
      <c r="P4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5">
      <c r="A5" t="s">
        <v>67</v>
      </c>
      <c r="B5" t="s">
        <v>70</v>
      </c>
      <c r="C5">
        <v>1</v>
      </c>
      <c r="D5" t="s">
        <v>90</v>
      </c>
      <c r="E5" t="s">
        <v>91</v>
      </c>
      <c r="F5" t="s">
        <v>76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ProjectFood counters.ScheduledUtilizationScheduled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5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5">
      <c r="A6" t="s">
        <v>67</v>
      </c>
      <c r="B6" t="s">
        <v>70</v>
      </c>
      <c r="C6">
        <v>1</v>
      </c>
      <c r="D6" t="s">
        <v>92</v>
      </c>
      <c r="E6" t="s">
        <v>87</v>
      </c>
      <c r="F6" t="s">
        <v>93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>
        <f t="array" ref="J6">MAX(IF((ProjectInfoTable[ProjectName]=OutputTable[[#This Row],[ProjectName]]),(ProjectInfoTable[ProjectName]=OutputTable[[#This Row],[ProjectName]])*ProjectInfoTable[NumberOfReplications]))</f>
        <v>5</v>
      </c>
      <c r="K6">
        <f t="array" ref="K6">IFERROR(AVERAGE(IF((OutputTable[GroupByKey]=OutputTable[[#This Row],[GroupByKey]]),(OutputTable[GroupByKey]=OutputTable[[#This Row],[GroupByKey]])*OutputTable[RecordedValue])),0)</f>
        <v>0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">
        <f t="array" ref="O6">MIN(IF((OutputTable[GroupByKey]=OutputTable[[#This Row],[GroupByKey]]),(OutputTable[GroupByKey]=OutputTable[[#This Row],[GroupByKey]])*OutputTable[RecordedValue]))</f>
        <v>0</v>
      </c>
      <c r="P6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5">
      <c r="A7" t="s">
        <v>67</v>
      </c>
      <c r="B7" t="s">
        <v>70</v>
      </c>
      <c r="C7">
        <v>1</v>
      </c>
      <c r="D7" t="s">
        <v>94</v>
      </c>
      <c r="E7" t="s">
        <v>89</v>
      </c>
      <c r="F7" t="s">
        <v>76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ProjectVerification Stations.NumberSeizedTotal Number SeizedResource</v>
      </c>
      <c r="J7">
        <f t="array" ref="J7">MAX(IF((ProjectInfoTable[ProjectName]=OutputTable[[#This Row],[ProjectName]]),(ProjectInfoTable[ProjectName]=OutputTable[[#This Row],[ProjectName]])*ProjectInfoTable[NumberOfReplications]))</f>
        <v>5</v>
      </c>
      <c r="K7">
        <f t="array" ref="K7">IFERROR(AVERAGE(IF((OutputTable[GroupByKey]=OutputTable[[#This Row],[GroupByKey]]),(OutputTable[GroupByKey]=OutputTable[[#This Row],[GroupByKey]])*OutputTable[RecordedValue])),0)</f>
        <v>0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">
        <f t="array" ref="O7">MIN(IF((OutputTable[GroupByKey]=OutputTable[[#This Row],[GroupByKey]]),(OutputTable[GroupByKey]=OutputTable[[#This Row],[GroupByKey]])*OutputTable[RecordedValue]))</f>
        <v>0</v>
      </c>
      <c r="P7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5">
      <c r="A8" t="s">
        <v>67</v>
      </c>
      <c r="B8" t="s">
        <v>70</v>
      </c>
      <c r="C8">
        <v>1</v>
      </c>
      <c r="D8" t="s">
        <v>95</v>
      </c>
      <c r="E8" t="s">
        <v>91</v>
      </c>
      <c r="F8" t="s">
        <v>76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ProjectVerification Stations.ScheduledUtilizationScheduled UtilizationResource</v>
      </c>
      <c r="J8">
        <f t="array" ref="J8">MAX(IF((ProjectInfoTable[ProjectName]=OutputTable[[#This Row],[ProjectName]]),(ProjectInfoTable[ProjectName]=OutputTable[[#This Row],[ProjectName]])*ProjectInfoTable[NumberOfReplications]))</f>
        <v>5</v>
      </c>
      <c r="K8">
        <f t="array" ref="K8">IFERROR(AVERAGE(IF((OutputTable[GroupByKey]=OutputTable[[#This Row],[GroupByKey]]),(OutputTable[GroupByKey]=OutputTable[[#This Row],[GroupByKey]])*OutputTable[RecordedValue])),0)</f>
        <v>0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>
        <f t="array" ref="O8">MIN(IF((OutputTable[GroupByKey]=OutputTable[[#This Row],[GroupByKey]]),(OutputTable[GroupByKey]=OutputTable[[#This Row],[GroupByKey]])*OutputTable[RecordedValue]))</f>
        <v>0</v>
      </c>
      <c r="P8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35">
      <c r="A9" t="s">
        <v>67</v>
      </c>
      <c r="B9" t="s">
        <v>70</v>
      </c>
      <c r="C9">
        <v>2</v>
      </c>
      <c r="D9" t="s">
        <v>84</v>
      </c>
      <c r="E9" t="s">
        <v>85</v>
      </c>
      <c r="F9" t="s">
        <v>73</v>
      </c>
      <c r="G9">
        <v>100</v>
      </c>
      <c r="H9">
        <v>0</v>
      </c>
      <c r="I9" t="str">
        <f>OutputTable[[#This Row],[ProjectName]]&amp;OutputTable[[#This Row],[Name]]&amp;OutputTable[[#This Row],[Type]]&amp;OutputTable[[#This Row],[Source]]</f>
        <v>Unnamed ProjectEntity 1.NumberInNumber InEntity</v>
      </c>
      <c r="J9">
        <f t="array" ref="J9">MAX(IF((ProjectInfoTable[ProjectName]=OutputTable[[#This Row],[ProjectName]]),(ProjectInfoTable[ProjectName]=OutputTable[[#This Row],[ProjectName]])*ProjectInfoTable[NumberOfReplications]))</f>
        <v>5</v>
      </c>
      <c r="K9">
        <f t="array" ref="K9">IFERROR(AVERAGE(IF((OutputTable[GroupByKey]=OutputTable[[#This Row],[GroupByKey]]),(OutputTable[GroupByKey]=OutputTable[[#This Row],[GroupByKey]])*OutputTable[RecordedValue])),0)</f>
        <v>100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">
        <f t="array" ref="O9">MIN(IF((OutputTable[GroupByKey]=OutputTable[[#This Row],[GroupByKey]]),(OutputTable[GroupByKey]=OutputTable[[#This Row],[GroupByKey]])*OutputTable[RecordedValue]))</f>
        <v>100</v>
      </c>
      <c r="P9">
        <f t="array" ref="P9">MAX(IF((OutputTable[GroupByKey]=OutputTable[[#This Row],[GroupByKey]]),(OutputTable[GroupByKey]=OutputTable[[#This Row],[GroupByKey]])*OutputTable[RecordedValue]))</f>
        <v>100</v>
      </c>
    </row>
    <row r="10" spans="1:16" x14ac:dyDescent="0.35">
      <c r="A10" t="s">
        <v>67</v>
      </c>
      <c r="B10" t="s">
        <v>70</v>
      </c>
      <c r="C10">
        <v>2</v>
      </c>
      <c r="D10" t="s">
        <v>86</v>
      </c>
      <c r="E10" t="s">
        <v>87</v>
      </c>
      <c r="F10" t="s">
        <v>73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ProjectEntity 1.NumberOutNumber OutEntity</v>
      </c>
      <c r="J10">
        <f t="array" ref="J10">MAX(IF((ProjectInfoTable[ProjectName]=OutputTable[[#This Row],[ProjectName]]),(ProjectInfoTable[ProjectName]=OutputTable[[#This Row],[ProjectName]])*ProjectInfoTable[NumberOfReplications]))</f>
        <v>5</v>
      </c>
      <c r="K10">
        <f t="array" ref="K10">IFERROR(AVERAGE(IF((OutputTable[GroupByKey]=OutputTable[[#This Row],[GroupByKey]]),(OutputTable[GroupByKey]=OutputTable[[#This Row],[GroupByKey]])*OutputTable[RecordedValue])),0)</f>
        <v>0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>
        <f t="array" ref="O10">MIN(IF((OutputTable[GroupByKey]=OutputTable[[#This Row],[GroupByKey]]),(OutputTable[GroupByKey]=OutputTable[[#This Row],[GroupByKey]])*OutputTable[RecordedValue]))</f>
        <v>0</v>
      </c>
      <c r="P10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35">
      <c r="A11" t="s">
        <v>67</v>
      </c>
      <c r="B11" t="s">
        <v>70</v>
      </c>
      <c r="C11">
        <v>2</v>
      </c>
      <c r="D11" t="s">
        <v>88</v>
      </c>
      <c r="E11" t="s">
        <v>89</v>
      </c>
      <c r="F11" t="s">
        <v>76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ProjectFood counters.NumberSeizedTotal Number SeizedResource</v>
      </c>
      <c r="J11">
        <f t="array" ref="J11">MAX(IF((ProjectInfoTable[ProjectName]=OutputTable[[#This Row],[ProjectName]]),(ProjectInfoTable[ProjectName]=OutputTable[[#This Row],[ProjectName]])*ProjectInfoTable[NumberOfReplications]))</f>
        <v>5</v>
      </c>
      <c r="K11">
        <f t="array" ref="K11">IFERROR(AVERAGE(IF((OutputTable[GroupByKey]=OutputTable[[#This Row],[GroupByKey]]),(OutputTable[GroupByKey]=OutputTable[[#This Row],[GroupByKey]])*OutputTable[RecordedValue])),0)</f>
        <v>0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>
        <f t="array" ref="O11">MIN(IF((OutputTable[GroupByKey]=OutputTable[[#This Row],[GroupByKey]]),(OutputTable[GroupByKey]=OutputTable[[#This Row],[GroupByKey]])*OutputTable[RecordedValue]))</f>
        <v>0</v>
      </c>
      <c r="P1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35">
      <c r="A12" t="s">
        <v>67</v>
      </c>
      <c r="B12" t="s">
        <v>70</v>
      </c>
      <c r="C12">
        <v>2</v>
      </c>
      <c r="D12" t="s">
        <v>90</v>
      </c>
      <c r="E12" t="s">
        <v>91</v>
      </c>
      <c r="F12" t="s">
        <v>76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ProjectFood counters.ScheduledUtilizationScheduled UtilizationResource</v>
      </c>
      <c r="J12">
        <f t="array" ref="J12">MAX(IF((ProjectInfoTable[ProjectName]=OutputTable[[#This Row],[ProjectName]]),(ProjectInfoTable[ProjectName]=OutputTable[[#This Row],[ProjectName]])*ProjectInfoTable[NumberOfReplications]))</f>
        <v>5</v>
      </c>
      <c r="K12">
        <f t="array" ref="K12">IFERROR(AVERAGE(IF((OutputTable[GroupByKey]=OutputTable[[#This Row],[GroupByKey]]),(OutputTable[GroupByKey]=OutputTable[[#This Row],[GroupByKey]])*OutputTable[RecordedValue])),0)</f>
        <v>0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">
        <f t="array" ref="O12">MIN(IF((OutputTable[GroupByKey]=OutputTable[[#This Row],[GroupByKey]]),(OutputTable[GroupByKey]=OutputTable[[#This Row],[GroupByKey]])*OutputTable[RecordedValue]))</f>
        <v>0</v>
      </c>
      <c r="P12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35">
      <c r="A13" t="s">
        <v>67</v>
      </c>
      <c r="B13" t="s">
        <v>70</v>
      </c>
      <c r="C13">
        <v>2</v>
      </c>
      <c r="D13" t="s">
        <v>92</v>
      </c>
      <c r="E13" t="s">
        <v>87</v>
      </c>
      <c r="F13" t="s">
        <v>93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ProjectSystem.NumberOutNumber OutSystem</v>
      </c>
      <c r="J13">
        <f t="array" ref="J13">MAX(IF((ProjectInfoTable[ProjectName]=OutputTable[[#This Row],[ProjectName]]),(ProjectInfoTable[ProjectName]=OutputTable[[#This Row],[ProjectName]])*ProjectInfoTable[NumberOfReplications]))</f>
        <v>5</v>
      </c>
      <c r="K13">
        <f t="array" ref="K13">IFERROR(AVERAGE(IF((OutputTable[GroupByKey]=OutputTable[[#This Row],[GroupByKey]]),(OutputTable[GroupByKey]=OutputTable[[#This Row],[GroupByKey]])*OutputTable[RecordedValue])),0)</f>
        <v>0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>
        <f t="array" ref="O13">MIN(IF((OutputTable[GroupByKey]=OutputTable[[#This Row],[GroupByKey]]),(OutputTable[GroupByKey]=OutputTable[[#This Row],[GroupByKey]])*OutputTable[RecordedValue]))</f>
        <v>0</v>
      </c>
      <c r="P13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5">
      <c r="A14" t="s">
        <v>67</v>
      </c>
      <c r="B14" t="s">
        <v>70</v>
      </c>
      <c r="C14">
        <v>2</v>
      </c>
      <c r="D14" t="s">
        <v>94</v>
      </c>
      <c r="E14" t="s">
        <v>89</v>
      </c>
      <c r="F14" t="s">
        <v>76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ProjectVerification Stations.NumberSeizedTotal Number SeizedResource</v>
      </c>
      <c r="J14">
        <f t="array" ref="J14">MAX(IF((ProjectInfoTable[ProjectName]=OutputTable[[#This Row],[ProjectName]]),(ProjectInfoTable[ProjectName]=OutputTable[[#This Row],[ProjectName]])*ProjectInfoTable[NumberOfReplications]))</f>
        <v>5</v>
      </c>
      <c r="K14">
        <f t="array" ref="K14">IFERROR(AVERAGE(IF((OutputTable[GroupByKey]=OutputTable[[#This Row],[GroupByKey]]),(OutputTable[GroupByKey]=OutputTable[[#This Row],[GroupByKey]])*OutputTable[RecordedValue])),0)</f>
        <v>0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">
        <f t="array" ref="O14">MIN(IF((OutputTable[GroupByKey]=OutputTable[[#This Row],[GroupByKey]]),(OutputTable[GroupByKey]=OutputTable[[#This Row],[GroupByKey]])*OutputTable[RecordedValue]))</f>
        <v>0</v>
      </c>
      <c r="P14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35">
      <c r="A15" t="s">
        <v>67</v>
      </c>
      <c r="B15" t="s">
        <v>70</v>
      </c>
      <c r="C15">
        <v>2</v>
      </c>
      <c r="D15" t="s">
        <v>95</v>
      </c>
      <c r="E15" t="s">
        <v>91</v>
      </c>
      <c r="F15" t="s">
        <v>76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Unnamed ProjectVerification Stations.ScheduledUtilizationScheduled UtilizationResource</v>
      </c>
      <c r="J15">
        <f t="array" ref="J15">MAX(IF((ProjectInfoTable[ProjectName]=OutputTable[[#This Row],[ProjectName]]),(ProjectInfoTable[ProjectName]=OutputTable[[#This Row],[ProjectName]])*ProjectInfoTable[NumberOfReplications]))</f>
        <v>5</v>
      </c>
      <c r="K15">
        <f t="array" ref="K15">IFERROR(AVERAGE(IF((OutputTable[GroupByKey]=OutputTable[[#This Row],[GroupByKey]]),(OutputTable[GroupByKey]=OutputTable[[#This Row],[GroupByKey]])*OutputTable[RecordedValue])),0)</f>
        <v>0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>
        <f t="array" ref="O15">MIN(IF((OutputTable[GroupByKey]=OutputTable[[#This Row],[GroupByKey]]),(OutputTable[GroupByKey]=OutputTable[[#This Row],[GroupByKey]])*OutputTable[RecordedValue]))</f>
        <v>0</v>
      </c>
      <c r="P15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35">
      <c r="A16" t="s">
        <v>67</v>
      </c>
      <c r="B16" t="s">
        <v>70</v>
      </c>
      <c r="C16">
        <v>3</v>
      </c>
      <c r="D16" t="s">
        <v>84</v>
      </c>
      <c r="E16" t="s">
        <v>85</v>
      </c>
      <c r="F16" t="s">
        <v>73</v>
      </c>
      <c r="G16">
        <v>100</v>
      </c>
      <c r="H16">
        <v>0</v>
      </c>
      <c r="I16" t="str">
        <f>OutputTable[[#This Row],[ProjectName]]&amp;OutputTable[[#This Row],[Name]]&amp;OutputTable[[#This Row],[Type]]&amp;OutputTable[[#This Row],[Source]]</f>
        <v>Unnamed ProjectEntity 1.NumberInNumber InEntity</v>
      </c>
      <c r="J16">
        <f t="array" ref="J16">MAX(IF((ProjectInfoTable[ProjectName]=OutputTable[[#This Row],[ProjectName]]),(ProjectInfoTable[ProjectName]=OutputTable[[#This Row],[ProjectName]])*ProjectInfoTable[NumberOfReplications]))</f>
        <v>5</v>
      </c>
      <c r="K16">
        <f t="array" ref="K16">IFERROR(AVERAGE(IF((OutputTable[GroupByKey]=OutputTable[[#This Row],[GroupByKey]]),(OutputTable[GroupByKey]=OutputTable[[#This Row],[GroupByKey]])*OutputTable[RecordedValue])),0)</f>
        <v>100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">
        <f t="array" ref="O16">MIN(IF((OutputTable[GroupByKey]=OutputTable[[#This Row],[GroupByKey]]),(OutputTable[GroupByKey]=OutputTable[[#This Row],[GroupByKey]])*OutputTable[RecordedValue]))</f>
        <v>100</v>
      </c>
      <c r="P16">
        <f t="array" ref="P16">MAX(IF((OutputTable[GroupByKey]=OutputTable[[#This Row],[GroupByKey]]),(OutputTable[GroupByKey]=OutputTable[[#This Row],[GroupByKey]])*OutputTable[RecordedValue]))</f>
        <v>100</v>
      </c>
    </row>
    <row r="17" spans="1:16" x14ac:dyDescent="0.35">
      <c r="A17" t="s">
        <v>67</v>
      </c>
      <c r="B17" t="s">
        <v>70</v>
      </c>
      <c r="C17">
        <v>3</v>
      </c>
      <c r="D17" t="s">
        <v>86</v>
      </c>
      <c r="E17" t="s">
        <v>87</v>
      </c>
      <c r="F17" t="s">
        <v>73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1.NumberOutNumber OutEntity</v>
      </c>
      <c r="J17">
        <f t="array" ref="J17">MAX(IF((ProjectInfoTable[ProjectName]=OutputTable[[#This Row],[ProjectName]]),(ProjectInfoTable[ProjectName]=OutputTable[[#This Row],[ProjectName]])*ProjectInfoTable[NumberOfReplications]))</f>
        <v>5</v>
      </c>
      <c r="K17">
        <f t="array" ref="K17">IFERROR(AVERAGE(IF((OutputTable[GroupByKey]=OutputTable[[#This Row],[GroupByKey]]),(OutputTable[GroupByKey]=OutputTable[[#This Row],[GroupByKey]])*OutputTable[RecordedValue])),0)</f>
        <v>0</v>
      </c>
      <c r="L17">
        <f t="array" ref="L17">IFERROR(_xlfn.STDEV.S(IF((OutputTable[GroupByKey]=OutputTable[[#This Row],[GroupByKey]]),(OutputTable[GroupByKey]=OutputTable[[#This Row],[GroupByKey]])*OutputTable[RecordedValue])),0)</f>
        <v>0</v>
      </c>
      <c r="M17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">
        <f t="array" ref="O17">MIN(IF((OutputTable[GroupByKey]=OutputTable[[#This Row],[GroupByKey]]),(OutputTable[GroupByKey]=OutputTable[[#This Row],[GroupByKey]])*OutputTable[RecordedValue]))</f>
        <v>0</v>
      </c>
      <c r="P17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35">
      <c r="A18" t="s">
        <v>67</v>
      </c>
      <c r="B18" t="s">
        <v>70</v>
      </c>
      <c r="C18">
        <v>3</v>
      </c>
      <c r="D18" t="s">
        <v>88</v>
      </c>
      <c r="E18" t="s">
        <v>89</v>
      </c>
      <c r="F18" t="s">
        <v>76</v>
      </c>
      <c r="G18">
        <v>0</v>
      </c>
      <c r="H18">
        <v>0</v>
      </c>
      <c r="I18" t="str">
        <f>OutputTable[[#This Row],[ProjectName]]&amp;OutputTable[[#This Row],[Name]]&amp;OutputTable[[#This Row],[Type]]&amp;OutputTable[[#This Row],[Source]]</f>
        <v>Unnamed ProjectFood counters.NumberSeizedTotal Number SeizedResource</v>
      </c>
      <c r="J18">
        <f t="array" ref="J18">MAX(IF((ProjectInfoTable[ProjectName]=OutputTable[[#This Row],[ProjectName]]),(ProjectInfoTable[ProjectName]=OutputTable[[#This Row],[ProjectName]])*ProjectInfoTable[NumberOfReplications]))</f>
        <v>5</v>
      </c>
      <c r="K18">
        <f t="array" ref="K18">IFERROR(AVERAGE(IF((OutputTable[GroupByKey]=OutputTable[[#This Row],[GroupByKey]]),(OutputTable[GroupByKey]=OutputTable[[#This Row],[GroupByKey]])*OutputTable[RecordedValue])),0)</f>
        <v>0</v>
      </c>
      <c r="L18">
        <f t="array" ref="L18">IFERROR(_xlfn.STDEV.S(IF((OutputTable[GroupByKey]=OutputTable[[#This Row],[GroupByKey]]),(OutputTable[GroupByKey]=OutputTable[[#This Row],[GroupByKey]])*OutputTable[RecordedValue])),0)</f>
        <v>0</v>
      </c>
      <c r="M18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">
        <f t="array" ref="O18">MIN(IF((OutputTable[GroupByKey]=OutputTable[[#This Row],[GroupByKey]]),(OutputTable[GroupByKey]=OutputTable[[#This Row],[GroupByKey]])*OutputTable[RecordedValue]))</f>
        <v>0</v>
      </c>
      <c r="P18">
        <f t="array" ref="P18">MAX(IF((OutputTable[GroupByKey]=OutputTable[[#This Row],[GroupByKey]]),(OutputTable[GroupByKey]=OutputTable[[#This Row],[GroupByKey]])*OutputTable[RecordedValue]))</f>
        <v>0</v>
      </c>
    </row>
    <row r="19" spans="1:16" x14ac:dyDescent="0.35">
      <c r="A19" t="s">
        <v>67</v>
      </c>
      <c r="B19" t="s">
        <v>70</v>
      </c>
      <c r="C19">
        <v>3</v>
      </c>
      <c r="D19" t="s">
        <v>90</v>
      </c>
      <c r="E19" t="s">
        <v>91</v>
      </c>
      <c r="F19" t="s">
        <v>76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Unnamed ProjectFood counters.ScheduledUtilizationScheduled UtilizationResource</v>
      </c>
      <c r="J19">
        <f t="array" ref="J19">MAX(IF((ProjectInfoTable[ProjectName]=OutputTable[[#This Row],[ProjectName]]),(ProjectInfoTable[ProjectName]=OutputTable[[#This Row],[ProjectName]])*ProjectInfoTable[NumberOfReplications]))</f>
        <v>5</v>
      </c>
      <c r="K19">
        <f t="array" ref="K19">IFERROR(AVERAGE(IF((OutputTable[GroupByKey]=OutputTable[[#This Row],[GroupByKey]]),(OutputTable[GroupByKey]=OutputTable[[#This Row],[GroupByKey]])*OutputTable[RecordedValue])),0)</f>
        <v>0</v>
      </c>
      <c r="L19">
        <f t="array" ref="L19">IFERROR(_xlfn.STDEV.S(IF((OutputTable[GroupByKey]=OutputTable[[#This Row],[GroupByKey]]),(OutputTable[GroupByKey]=OutputTable[[#This Row],[GroupByKey]])*OutputTable[RecordedValue])),0)</f>
        <v>0</v>
      </c>
      <c r="M19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>
        <f t="array" ref="O19">MIN(IF((OutputTable[GroupByKey]=OutputTable[[#This Row],[GroupByKey]]),(OutputTable[GroupByKey]=OutputTable[[#This Row],[GroupByKey]])*OutputTable[RecordedValue]))</f>
        <v>0</v>
      </c>
      <c r="P19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35">
      <c r="A20" t="s">
        <v>67</v>
      </c>
      <c r="B20" t="s">
        <v>70</v>
      </c>
      <c r="C20">
        <v>3</v>
      </c>
      <c r="D20" t="s">
        <v>92</v>
      </c>
      <c r="E20" t="s">
        <v>87</v>
      </c>
      <c r="F20" t="s">
        <v>93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Unnamed ProjectSystem.NumberOutNumber OutSystem</v>
      </c>
      <c r="J20">
        <f t="array" ref="J20">MAX(IF((ProjectInfoTable[ProjectName]=OutputTable[[#This Row],[ProjectName]]),(ProjectInfoTable[ProjectName]=OutputTable[[#This Row],[ProjectName]])*ProjectInfoTable[NumberOfReplications]))</f>
        <v>5</v>
      </c>
      <c r="K20">
        <f t="array" ref="K20">IFERROR(AVERAGE(IF((OutputTable[GroupByKey]=OutputTable[[#This Row],[GroupByKey]]),(OutputTable[GroupByKey]=OutputTable[[#This Row],[GroupByKey]])*OutputTable[RecordedValue])),0)</f>
        <v>0</v>
      </c>
      <c r="L20">
        <f t="array" ref="L20">IFERROR(_xlfn.STDEV.S(IF((OutputTable[GroupByKey]=OutputTable[[#This Row],[GroupByKey]]),(OutputTable[GroupByKey]=OutputTable[[#This Row],[GroupByKey]])*OutputTable[RecordedValue])),0)</f>
        <v>0</v>
      </c>
      <c r="M20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">
        <f t="array" ref="O20">MIN(IF((OutputTable[GroupByKey]=OutputTable[[#This Row],[GroupByKey]]),(OutputTable[GroupByKey]=OutputTable[[#This Row],[GroupByKey]])*OutputTable[RecordedValue]))</f>
        <v>0</v>
      </c>
      <c r="P20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35">
      <c r="A21" t="s">
        <v>67</v>
      </c>
      <c r="B21" t="s">
        <v>70</v>
      </c>
      <c r="C21">
        <v>3</v>
      </c>
      <c r="D21" t="s">
        <v>94</v>
      </c>
      <c r="E21" t="s">
        <v>89</v>
      </c>
      <c r="F21" t="s">
        <v>76</v>
      </c>
      <c r="G21">
        <v>0</v>
      </c>
      <c r="H21">
        <v>0</v>
      </c>
      <c r="I21" t="str">
        <f>OutputTable[[#This Row],[ProjectName]]&amp;OutputTable[[#This Row],[Name]]&amp;OutputTable[[#This Row],[Type]]&amp;OutputTable[[#This Row],[Source]]</f>
        <v>Unnamed ProjectVerification Stations.NumberSeizedTotal Number SeizedResource</v>
      </c>
      <c r="J21">
        <f t="array" ref="J21">MAX(IF((ProjectInfoTable[ProjectName]=OutputTable[[#This Row],[ProjectName]]),(ProjectInfoTable[ProjectName]=OutputTable[[#This Row],[ProjectName]])*ProjectInfoTable[NumberOfReplications]))</f>
        <v>5</v>
      </c>
      <c r="K21">
        <f t="array" ref="K21">IFERROR(AVERAGE(IF((OutputTable[GroupByKey]=OutputTable[[#This Row],[GroupByKey]]),(OutputTable[GroupByKey]=OutputTable[[#This Row],[GroupByKey]])*OutputTable[RecordedValue])),0)</f>
        <v>0</v>
      </c>
      <c r="L21">
        <f t="array" ref="L21">IFERROR(_xlfn.STDEV.S(IF((OutputTable[GroupByKey]=OutputTable[[#This Row],[GroupByKey]]),(OutputTable[GroupByKey]=OutputTable[[#This Row],[GroupByKey]])*OutputTable[RecordedValue])),0)</f>
        <v>0</v>
      </c>
      <c r="M2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">
        <f t="array" ref="O21">MIN(IF((OutputTable[GroupByKey]=OutputTable[[#This Row],[GroupByKey]]),(OutputTable[GroupByKey]=OutputTable[[#This Row],[GroupByKey]])*OutputTable[RecordedValue]))</f>
        <v>0</v>
      </c>
      <c r="P21">
        <f t="array" ref="P21">MAX(IF((OutputTable[GroupByKey]=OutputTable[[#This Row],[GroupByKey]]),(OutputTable[GroupByKey]=OutputTable[[#This Row],[GroupByKey]])*OutputTable[RecordedValue]))</f>
        <v>0</v>
      </c>
    </row>
    <row r="22" spans="1:16" x14ac:dyDescent="0.35">
      <c r="A22" t="s">
        <v>67</v>
      </c>
      <c r="B22" t="s">
        <v>70</v>
      </c>
      <c r="C22">
        <v>3</v>
      </c>
      <c r="D22" t="s">
        <v>95</v>
      </c>
      <c r="E22" t="s">
        <v>91</v>
      </c>
      <c r="F22" t="s">
        <v>76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Unnamed ProjectVerification Stations.ScheduledUtilizationScheduled UtilizationResource</v>
      </c>
      <c r="J22">
        <f t="array" ref="J22">MAX(IF((ProjectInfoTable[ProjectName]=OutputTable[[#This Row],[ProjectName]]),(ProjectInfoTable[ProjectName]=OutputTable[[#This Row],[ProjectName]])*ProjectInfoTable[NumberOfReplications]))</f>
        <v>5</v>
      </c>
      <c r="K22">
        <f t="array" ref="K22">IFERROR(AVERAGE(IF((OutputTable[GroupByKey]=OutputTable[[#This Row],[GroupByKey]]),(OutputTable[GroupByKey]=OutputTable[[#This Row],[GroupByKey]])*OutputTable[RecordedValue])),0)</f>
        <v>0</v>
      </c>
      <c r="L22">
        <f t="array" ref="L22">IFERROR(_xlfn.STDEV.S(IF((OutputTable[GroupByKey]=OutputTable[[#This Row],[GroupByKey]]),(OutputTable[GroupByKey]=OutputTable[[#This Row],[GroupByKey]])*OutputTable[RecordedValue])),0)</f>
        <v>0</v>
      </c>
      <c r="M22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>
        <f t="array" ref="O22">MIN(IF((OutputTable[GroupByKey]=OutputTable[[#This Row],[GroupByKey]]),(OutputTable[GroupByKey]=OutputTable[[#This Row],[GroupByKey]])*OutputTable[RecordedValue]))</f>
        <v>0</v>
      </c>
      <c r="P22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35">
      <c r="A23" t="s">
        <v>67</v>
      </c>
      <c r="B23" t="s">
        <v>70</v>
      </c>
      <c r="C23">
        <v>4</v>
      </c>
      <c r="D23" t="s">
        <v>84</v>
      </c>
      <c r="E23" t="s">
        <v>85</v>
      </c>
      <c r="F23" t="s">
        <v>73</v>
      </c>
      <c r="G23">
        <v>100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1.NumberInNumber InEntity</v>
      </c>
      <c r="J23">
        <f t="array" ref="J23">MAX(IF((ProjectInfoTable[ProjectName]=OutputTable[[#This Row],[ProjectName]]),(ProjectInfoTable[ProjectName]=OutputTable[[#This Row],[ProjectName]])*ProjectInfoTable[NumberOfReplications]))</f>
        <v>5</v>
      </c>
      <c r="K23">
        <f t="array" ref="K23">IFERROR(AVERAGE(IF((OutputTable[GroupByKey]=OutputTable[[#This Row],[GroupByKey]]),(OutputTable[GroupByKey]=OutputTable[[#This Row],[GroupByKey]])*OutputTable[RecordedValue])),0)</f>
        <v>100</v>
      </c>
      <c r="L23">
        <f t="array" ref="L23">IFERROR(_xlfn.STDEV.S(IF((OutputTable[GroupByKey]=OutputTable[[#This Row],[GroupByKey]]),(OutputTable[GroupByKey]=OutputTable[[#This Row],[GroupByKey]])*OutputTable[RecordedValue])),0)</f>
        <v>0</v>
      </c>
      <c r="M23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">
        <f t="array" ref="O23">MIN(IF((OutputTable[GroupByKey]=OutputTable[[#This Row],[GroupByKey]]),(OutputTable[GroupByKey]=OutputTable[[#This Row],[GroupByKey]])*OutputTable[RecordedValue]))</f>
        <v>100</v>
      </c>
      <c r="P23">
        <f t="array" ref="P23">MAX(IF((OutputTable[GroupByKey]=OutputTable[[#This Row],[GroupByKey]]),(OutputTable[GroupByKey]=OutputTable[[#This Row],[GroupByKey]])*OutputTable[RecordedValue]))</f>
        <v>100</v>
      </c>
    </row>
    <row r="24" spans="1:16" x14ac:dyDescent="0.35">
      <c r="A24" t="s">
        <v>67</v>
      </c>
      <c r="B24" t="s">
        <v>70</v>
      </c>
      <c r="C24">
        <v>4</v>
      </c>
      <c r="D24" t="s">
        <v>86</v>
      </c>
      <c r="E24" t="s">
        <v>87</v>
      </c>
      <c r="F24" t="s">
        <v>73</v>
      </c>
      <c r="G24">
        <v>0</v>
      </c>
      <c r="H24">
        <v>0</v>
      </c>
      <c r="I24" t="str">
        <f>OutputTable[[#This Row],[ProjectName]]&amp;OutputTable[[#This Row],[Name]]&amp;OutputTable[[#This Row],[Type]]&amp;OutputTable[[#This Row],[Source]]</f>
        <v>Unnamed ProjectEntity 1.NumberOutNumber OutEntity</v>
      </c>
      <c r="J24">
        <f t="array" ref="J24">MAX(IF((ProjectInfoTable[ProjectName]=OutputTable[[#This Row],[ProjectName]]),(ProjectInfoTable[ProjectName]=OutputTable[[#This Row],[ProjectName]])*ProjectInfoTable[NumberOfReplications]))</f>
        <v>5</v>
      </c>
      <c r="K24">
        <f t="array" ref="K24">IFERROR(AVERAGE(IF((OutputTable[GroupByKey]=OutputTable[[#This Row],[GroupByKey]]),(OutputTable[GroupByKey]=OutputTable[[#This Row],[GroupByKey]])*OutputTable[RecordedValue])),0)</f>
        <v>0</v>
      </c>
      <c r="L24">
        <f t="array" ref="L24">IFERROR(_xlfn.STDEV.S(IF((OutputTable[GroupByKey]=OutputTable[[#This Row],[GroupByKey]]),(OutputTable[GroupByKey]=OutputTable[[#This Row],[GroupByKey]])*OutputTable[RecordedValue])),0)</f>
        <v>0</v>
      </c>
      <c r="M24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>
        <f t="array" ref="O24">MIN(IF((OutputTable[GroupByKey]=OutputTable[[#This Row],[GroupByKey]]),(OutputTable[GroupByKey]=OutputTable[[#This Row],[GroupByKey]])*OutputTable[RecordedValue]))</f>
        <v>0</v>
      </c>
      <c r="P24">
        <f t="array" ref="P24">MAX(IF((OutputTable[GroupByKey]=OutputTable[[#This Row],[GroupByKey]]),(OutputTable[GroupByKey]=OutputTable[[#This Row],[GroupByKey]])*OutputTable[RecordedValue]))</f>
        <v>0</v>
      </c>
    </row>
    <row r="25" spans="1:16" x14ac:dyDescent="0.35">
      <c r="A25" t="s">
        <v>67</v>
      </c>
      <c r="B25" t="s">
        <v>70</v>
      </c>
      <c r="C25">
        <v>4</v>
      </c>
      <c r="D25" t="s">
        <v>88</v>
      </c>
      <c r="E25" t="s">
        <v>89</v>
      </c>
      <c r="F25" t="s">
        <v>76</v>
      </c>
      <c r="G25">
        <v>0</v>
      </c>
      <c r="H25">
        <v>0</v>
      </c>
      <c r="I25" t="str">
        <f>OutputTable[[#This Row],[ProjectName]]&amp;OutputTable[[#This Row],[Name]]&amp;OutputTable[[#This Row],[Type]]&amp;OutputTable[[#This Row],[Source]]</f>
        <v>Unnamed ProjectFood counters.NumberSeizedTotal Number SeizedResource</v>
      </c>
      <c r="J25">
        <f t="array" ref="J25">MAX(IF((ProjectInfoTable[ProjectName]=OutputTable[[#This Row],[ProjectName]]),(ProjectInfoTable[ProjectName]=OutputTable[[#This Row],[ProjectName]])*ProjectInfoTable[NumberOfReplications]))</f>
        <v>5</v>
      </c>
      <c r="K25">
        <f t="array" ref="K25">IFERROR(AVERAGE(IF((OutputTable[GroupByKey]=OutputTable[[#This Row],[GroupByKey]]),(OutputTable[GroupByKey]=OutputTable[[#This Row],[GroupByKey]])*OutputTable[RecordedValue])),0)</f>
        <v>0</v>
      </c>
      <c r="L25">
        <f t="array" ref="L25">IFERROR(_xlfn.STDEV.S(IF((OutputTable[GroupByKey]=OutputTable[[#This Row],[GroupByKey]]),(OutputTable[GroupByKey]=OutputTable[[#This Row],[GroupByKey]])*OutputTable[RecordedValue])),0)</f>
        <v>0</v>
      </c>
      <c r="M25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">
        <f t="array" ref="O25">MIN(IF((OutputTable[GroupByKey]=OutputTable[[#This Row],[GroupByKey]]),(OutputTable[GroupByKey]=OutputTable[[#This Row],[GroupByKey]])*OutputTable[RecordedValue]))</f>
        <v>0</v>
      </c>
      <c r="P25">
        <f t="array" ref="P25">MAX(IF((OutputTable[GroupByKey]=OutputTable[[#This Row],[GroupByKey]]),(OutputTable[GroupByKey]=OutputTable[[#This Row],[GroupByKey]])*OutputTable[RecordedValue]))</f>
        <v>0</v>
      </c>
    </row>
    <row r="26" spans="1:16" x14ac:dyDescent="0.35">
      <c r="A26" t="s">
        <v>67</v>
      </c>
      <c r="B26" t="s">
        <v>70</v>
      </c>
      <c r="C26">
        <v>4</v>
      </c>
      <c r="D26" t="s">
        <v>90</v>
      </c>
      <c r="E26" t="s">
        <v>91</v>
      </c>
      <c r="F26" t="s">
        <v>76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Unnamed ProjectFood counters.ScheduledUtilizationScheduled UtilizationResource</v>
      </c>
      <c r="J26">
        <f t="array" ref="J26">MAX(IF((ProjectInfoTable[ProjectName]=OutputTable[[#This Row],[ProjectName]]),(ProjectInfoTable[ProjectName]=OutputTable[[#This Row],[ProjectName]])*ProjectInfoTable[NumberOfReplications]))</f>
        <v>5</v>
      </c>
      <c r="K26">
        <f t="array" ref="K26">IFERROR(AVERAGE(IF((OutputTable[GroupByKey]=OutputTable[[#This Row],[GroupByKey]]),(OutputTable[GroupByKey]=OutputTable[[#This Row],[GroupByKey]])*OutputTable[RecordedValue])),0)</f>
        <v>0</v>
      </c>
      <c r="L26">
        <f t="array" ref="L26">IFERROR(_xlfn.STDEV.S(IF((OutputTable[GroupByKey]=OutputTable[[#This Row],[GroupByKey]]),(OutputTable[GroupByKey]=OutputTable[[#This Row],[GroupByKey]])*OutputTable[RecordedValue])),0)</f>
        <v>0</v>
      </c>
      <c r="M26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>
        <f t="array" ref="O26">MIN(IF((OutputTable[GroupByKey]=OutputTable[[#This Row],[GroupByKey]]),(OutputTable[GroupByKey]=OutputTable[[#This Row],[GroupByKey]])*OutputTable[RecordedValue]))</f>
        <v>0</v>
      </c>
      <c r="P26">
        <f t="array" ref="P26">MAX(IF((OutputTable[GroupByKey]=OutputTable[[#This Row],[GroupByKey]]),(OutputTable[GroupByKey]=OutputTable[[#This Row],[GroupByKey]])*OutputTable[RecordedValue]))</f>
        <v>0</v>
      </c>
    </row>
    <row r="27" spans="1:16" x14ac:dyDescent="0.35">
      <c r="A27" t="s">
        <v>67</v>
      </c>
      <c r="B27" t="s">
        <v>70</v>
      </c>
      <c r="C27">
        <v>4</v>
      </c>
      <c r="D27" t="s">
        <v>92</v>
      </c>
      <c r="E27" t="s">
        <v>87</v>
      </c>
      <c r="F27" t="s">
        <v>93</v>
      </c>
      <c r="G27">
        <v>0</v>
      </c>
      <c r="H27">
        <v>0</v>
      </c>
      <c r="I27" t="str">
        <f>OutputTable[[#This Row],[ProjectName]]&amp;OutputTable[[#This Row],[Name]]&amp;OutputTable[[#This Row],[Type]]&amp;OutputTable[[#This Row],[Source]]</f>
        <v>Unnamed ProjectSystem.NumberOutNumber OutSystem</v>
      </c>
      <c r="J27">
        <f t="array" ref="J27">MAX(IF((ProjectInfoTable[ProjectName]=OutputTable[[#This Row],[ProjectName]]),(ProjectInfoTable[ProjectName]=OutputTable[[#This Row],[ProjectName]])*ProjectInfoTable[NumberOfReplications]))</f>
        <v>5</v>
      </c>
      <c r="K27">
        <f t="array" ref="K27">IFERROR(AVERAGE(IF((OutputTable[GroupByKey]=OutputTable[[#This Row],[GroupByKey]]),(OutputTable[GroupByKey]=OutputTable[[#This Row],[GroupByKey]])*OutputTable[RecordedValue])),0)</f>
        <v>0</v>
      </c>
      <c r="L27">
        <f t="array" ref="L27">IFERROR(_xlfn.STDEV.S(IF((OutputTable[GroupByKey]=OutputTable[[#This Row],[GroupByKey]]),(OutputTable[GroupByKey]=OutputTable[[#This Row],[GroupByKey]])*OutputTable[RecordedValue])),0)</f>
        <v>0</v>
      </c>
      <c r="M27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">
        <f t="array" ref="O27">MIN(IF((OutputTable[GroupByKey]=OutputTable[[#This Row],[GroupByKey]]),(OutputTable[GroupByKey]=OutputTable[[#This Row],[GroupByKey]])*OutputTable[RecordedValue]))</f>
        <v>0</v>
      </c>
      <c r="P27">
        <f t="array" ref="P27">MAX(IF((OutputTable[GroupByKey]=OutputTable[[#This Row],[GroupByKey]]),(OutputTable[GroupByKey]=OutputTable[[#This Row],[GroupByKey]])*OutputTable[RecordedValue]))</f>
        <v>0</v>
      </c>
    </row>
    <row r="28" spans="1:16" x14ac:dyDescent="0.35">
      <c r="A28" t="s">
        <v>67</v>
      </c>
      <c r="B28" t="s">
        <v>70</v>
      </c>
      <c r="C28">
        <v>4</v>
      </c>
      <c r="D28" t="s">
        <v>94</v>
      </c>
      <c r="E28" t="s">
        <v>89</v>
      </c>
      <c r="F28" t="s">
        <v>76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Unnamed ProjectVerification Stations.NumberSeizedTotal Number SeizedResource</v>
      </c>
      <c r="J28">
        <f t="array" ref="J28">MAX(IF((ProjectInfoTable[ProjectName]=OutputTable[[#This Row],[ProjectName]]),(ProjectInfoTable[ProjectName]=OutputTable[[#This Row],[ProjectName]])*ProjectInfoTable[NumberOfReplications]))</f>
        <v>5</v>
      </c>
      <c r="K28">
        <f t="array" ref="K28">IFERROR(AVERAGE(IF((OutputTable[GroupByKey]=OutputTable[[#This Row],[GroupByKey]]),(OutputTable[GroupByKey]=OutputTable[[#This Row],[GroupByKey]])*OutputTable[RecordedValue])),0)</f>
        <v>0</v>
      </c>
      <c r="L28">
        <f t="array" ref="L28">IFERROR(_xlfn.STDEV.S(IF((OutputTable[GroupByKey]=OutputTable[[#This Row],[GroupByKey]]),(OutputTable[GroupByKey]=OutputTable[[#This Row],[GroupByKey]])*OutputTable[RecordedValue])),0)</f>
        <v>0</v>
      </c>
      <c r="M28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>
        <f t="array" ref="O28">MIN(IF((OutputTable[GroupByKey]=OutputTable[[#This Row],[GroupByKey]]),(OutputTable[GroupByKey]=OutputTable[[#This Row],[GroupByKey]])*OutputTable[RecordedValue]))</f>
        <v>0</v>
      </c>
      <c r="P28">
        <f t="array" ref="P28">MAX(IF((OutputTable[GroupByKey]=OutputTable[[#This Row],[GroupByKey]]),(OutputTable[GroupByKey]=OutputTable[[#This Row],[GroupByKey]])*OutputTable[RecordedValue]))</f>
        <v>0</v>
      </c>
    </row>
    <row r="29" spans="1:16" x14ac:dyDescent="0.35">
      <c r="A29" t="s">
        <v>67</v>
      </c>
      <c r="B29" t="s">
        <v>70</v>
      </c>
      <c r="C29">
        <v>4</v>
      </c>
      <c r="D29" t="s">
        <v>95</v>
      </c>
      <c r="E29" t="s">
        <v>91</v>
      </c>
      <c r="F29" t="s">
        <v>76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Unnamed ProjectVerification Stations.ScheduledUtilizationScheduled UtilizationResource</v>
      </c>
      <c r="J29">
        <f t="array" ref="J29">MAX(IF((ProjectInfoTable[ProjectName]=OutputTable[[#This Row],[ProjectName]]),(ProjectInfoTable[ProjectName]=OutputTable[[#This Row],[ProjectName]])*ProjectInfoTable[NumberOfReplications]))</f>
        <v>5</v>
      </c>
      <c r="K29">
        <f t="array" ref="K29">IFERROR(AVERAGE(IF((OutputTable[GroupByKey]=OutputTable[[#This Row],[GroupByKey]]),(OutputTable[GroupByKey]=OutputTable[[#This Row],[GroupByKey]])*OutputTable[RecordedValue])),0)</f>
        <v>0</v>
      </c>
      <c r="L29">
        <f t="array" ref="L29">IFERROR(_xlfn.STDEV.S(IF((OutputTable[GroupByKey]=OutputTable[[#This Row],[GroupByKey]]),(OutputTable[GroupByKey]=OutputTable[[#This Row],[GroupByKey]])*OutputTable[RecordedValue])),0)</f>
        <v>0</v>
      </c>
      <c r="M29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">
        <f t="array" ref="O29">MIN(IF((OutputTable[GroupByKey]=OutputTable[[#This Row],[GroupByKey]]),(OutputTable[GroupByKey]=OutputTable[[#This Row],[GroupByKey]])*OutputTable[RecordedValue]))</f>
        <v>0</v>
      </c>
      <c r="P29">
        <f t="array" ref="P29">MAX(IF((OutputTable[GroupByKey]=OutputTable[[#This Row],[GroupByKey]]),(OutputTable[GroupByKey]=OutputTable[[#This Row],[GroupByKey]])*OutputTable[RecordedValue]))</f>
        <v>0</v>
      </c>
    </row>
    <row r="30" spans="1:16" x14ac:dyDescent="0.35">
      <c r="A30" t="s">
        <v>67</v>
      </c>
      <c r="B30" t="s">
        <v>70</v>
      </c>
      <c r="C30">
        <v>5</v>
      </c>
      <c r="D30" t="s">
        <v>84</v>
      </c>
      <c r="E30" t="s">
        <v>85</v>
      </c>
      <c r="F30" t="s">
        <v>73</v>
      </c>
      <c r="G30">
        <v>100</v>
      </c>
      <c r="H30">
        <v>0</v>
      </c>
      <c r="I30" t="str">
        <f>OutputTable[[#This Row],[ProjectName]]&amp;OutputTable[[#This Row],[Name]]&amp;OutputTable[[#This Row],[Type]]&amp;OutputTable[[#This Row],[Source]]</f>
        <v>Unnamed ProjectEntity 1.NumberInNumber InEntity</v>
      </c>
      <c r="J30">
        <f t="array" ref="J30">MAX(IF((ProjectInfoTable[ProjectName]=OutputTable[[#This Row],[ProjectName]]),(ProjectInfoTable[ProjectName]=OutputTable[[#This Row],[ProjectName]])*ProjectInfoTable[NumberOfReplications]))</f>
        <v>5</v>
      </c>
      <c r="K30">
        <f t="array" ref="K30">IFERROR(AVERAGE(IF((OutputTable[GroupByKey]=OutputTable[[#This Row],[GroupByKey]]),(OutputTable[GroupByKey]=OutputTable[[#This Row],[GroupByKey]])*OutputTable[RecordedValue])),0)</f>
        <v>100</v>
      </c>
      <c r="L30">
        <f t="array" ref="L30">IFERROR(_xlfn.STDEV.S(IF((OutputTable[GroupByKey]=OutputTable[[#This Row],[GroupByKey]]),(OutputTable[GroupByKey]=OutputTable[[#This Row],[GroupByKey]])*OutputTable[RecordedValue])),0)</f>
        <v>0</v>
      </c>
      <c r="M30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>
        <f t="array" ref="O30">MIN(IF((OutputTable[GroupByKey]=OutputTable[[#This Row],[GroupByKey]]),(OutputTable[GroupByKey]=OutputTable[[#This Row],[GroupByKey]])*OutputTable[RecordedValue]))</f>
        <v>100</v>
      </c>
      <c r="P30">
        <f t="array" ref="P30">MAX(IF((OutputTable[GroupByKey]=OutputTable[[#This Row],[GroupByKey]]),(OutputTable[GroupByKey]=OutputTable[[#This Row],[GroupByKey]])*OutputTable[RecordedValue]))</f>
        <v>100</v>
      </c>
    </row>
    <row r="31" spans="1:16" x14ac:dyDescent="0.35">
      <c r="A31" t="s">
        <v>67</v>
      </c>
      <c r="B31" t="s">
        <v>70</v>
      </c>
      <c r="C31">
        <v>5</v>
      </c>
      <c r="D31" t="s">
        <v>86</v>
      </c>
      <c r="E31" t="s">
        <v>87</v>
      </c>
      <c r="F31" t="s">
        <v>73</v>
      </c>
      <c r="G31">
        <v>0</v>
      </c>
      <c r="H31">
        <v>0</v>
      </c>
      <c r="I31" t="str">
        <f>OutputTable[[#This Row],[ProjectName]]&amp;OutputTable[[#This Row],[Name]]&amp;OutputTable[[#This Row],[Type]]&amp;OutputTable[[#This Row],[Source]]</f>
        <v>Unnamed ProjectEntity 1.NumberOutNumber OutEntity</v>
      </c>
      <c r="J31">
        <f t="array" ref="J31">MAX(IF((ProjectInfoTable[ProjectName]=OutputTable[[#This Row],[ProjectName]]),(ProjectInfoTable[ProjectName]=OutputTable[[#This Row],[ProjectName]])*ProjectInfoTable[NumberOfReplications]))</f>
        <v>5</v>
      </c>
      <c r="K31">
        <f t="array" ref="K31">IFERROR(AVERAGE(IF((OutputTable[GroupByKey]=OutputTable[[#This Row],[GroupByKey]]),(OutputTable[GroupByKey]=OutputTable[[#This Row],[GroupByKey]])*OutputTable[RecordedValue])),0)</f>
        <v>0</v>
      </c>
      <c r="L31">
        <f t="array" ref="L31">IFERROR(_xlfn.STDEV.S(IF((OutputTable[GroupByKey]=OutputTable[[#This Row],[GroupByKey]]),(OutputTable[GroupByKey]=OutputTable[[#This Row],[GroupByKey]])*OutputTable[RecordedValue])),0)</f>
        <v>0</v>
      </c>
      <c r="M3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>
        <f t="array" ref="O31">MIN(IF((OutputTable[GroupByKey]=OutputTable[[#This Row],[GroupByKey]]),(OutputTable[GroupByKey]=OutputTable[[#This Row],[GroupByKey]])*OutputTable[RecordedValue]))</f>
        <v>0</v>
      </c>
      <c r="P31">
        <f t="array" ref="P31">MAX(IF((OutputTable[GroupByKey]=OutputTable[[#This Row],[GroupByKey]]),(OutputTable[GroupByKey]=OutputTable[[#This Row],[GroupByKey]])*OutputTable[RecordedValue]))</f>
        <v>0</v>
      </c>
    </row>
    <row r="32" spans="1:16" x14ac:dyDescent="0.35">
      <c r="A32" t="s">
        <v>67</v>
      </c>
      <c r="B32" t="s">
        <v>70</v>
      </c>
      <c r="C32">
        <v>5</v>
      </c>
      <c r="D32" t="s">
        <v>88</v>
      </c>
      <c r="E32" t="s">
        <v>89</v>
      </c>
      <c r="F32" t="s">
        <v>76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ProjectFood counters.NumberSeizedTotal Number SeizedResource</v>
      </c>
      <c r="J32" s="5">
        <f t="array" ref="J32">MAX(IF((ProjectInfoTable[ProjectName]=OutputTable[[#This Row],[ProjectName]]),(ProjectInfoTable[ProjectName]=OutputTable[[#This Row],[ProjectName]])*ProjectInfoTable[NumberOfReplications]))</f>
        <v>5</v>
      </c>
      <c r="K32" s="5">
        <f t="array" ref="K32">IFERROR(AVERAGE(IF((OutputTable[GroupByKey]=OutputTable[[#This Row],[GroupByKey]]),(OutputTable[GroupByKey]=OutputTable[[#This Row],[GroupByKey]])*OutputTable[RecordedValue])),0)</f>
        <v>0</v>
      </c>
      <c r="L32" s="5">
        <f t="array" ref="L32">IFERROR(_xlfn.STDEV.S(IF((OutputTable[GroupByKey]=OutputTable[[#This Row],[GroupByKey]]),(OutputTable[GroupByKey]=OutputTable[[#This Row],[GroupByKey]])*OutputTable[RecordedValue])),0)</f>
        <v>0</v>
      </c>
      <c r="M32" s="5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>
        <f t="array" ref="O32">MIN(IF((OutputTable[GroupByKey]=OutputTable[[#This Row],[GroupByKey]]),(OutputTable[GroupByKey]=OutputTable[[#This Row],[GroupByKey]])*OutputTable[RecordedValue]))</f>
        <v>0</v>
      </c>
      <c r="P32" s="5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35">
      <c r="A33" t="s">
        <v>67</v>
      </c>
      <c r="B33" t="s">
        <v>70</v>
      </c>
      <c r="C33">
        <v>5</v>
      </c>
      <c r="D33" t="s">
        <v>90</v>
      </c>
      <c r="E33" t="s">
        <v>91</v>
      </c>
      <c r="F33" t="s">
        <v>76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ProjectFood counters.ScheduledUtilizationScheduled UtilizationResource</v>
      </c>
      <c r="J33" s="5">
        <f t="array" ref="J33">MAX(IF((ProjectInfoTable[ProjectName]=OutputTable[[#This Row],[ProjectName]]),(ProjectInfoTable[ProjectName]=OutputTable[[#This Row],[ProjectName]])*ProjectInfoTable[NumberOfReplications]))</f>
        <v>5</v>
      </c>
      <c r="K33" s="5">
        <f t="array" ref="K33">IFERROR(AVERAGE(IF((OutputTable[GroupByKey]=OutputTable[[#This Row],[GroupByKey]]),(OutputTable[GroupByKey]=OutputTable[[#This Row],[GroupByKey]])*OutputTable[RecordedValue])),0)</f>
        <v>0</v>
      </c>
      <c r="L33" s="5">
        <f t="array" ref="L33">IFERROR(_xlfn.STDEV.S(IF((OutputTable[GroupByKey]=OutputTable[[#This Row],[GroupByKey]]),(OutputTable[GroupByKey]=OutputTable[[#This Row],[GroupByKey]])*OutputTable[RecordedValue])),0)</f>
        <v>0</v>
      </c>
      <c r="M33" s="5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s="5">
        <f t="array" ref="O33">MIN(IF((OutputTable[GroupByKey]=OutputTable[[#This Row],[GroupByKey]]),(OutputTable[GroupByKey]=OutputTable[[#This Row],[GroupByKey]])*OutputTable[RecordedValue]))</f>
        <v>0</v>
      </c>
      <c r="P33" s="5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35">
      <c r="A34" t="s">
        <v>67</v>
      </c>
      <c r="B34" t="s">
        <v>70</v>
      </c>
      <c r="C34">
        <v>5</v>
      </c>
      <c r="D34" t="s">
        <v>92</v>
      </c>
      <c r="E34" t="s">
        <v>87</v>
      </c>
      <c r="F34" t="s">
        <v>93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ProjectSystem.NumberOutNumber OutSystem</v>
      </c>
      <c r="J34" s="5">
        <f t="array" ref="J34">MAX(IF((ProjectInfoTable[ProjectName]=OutputTable[[#This Row],[ProjectName]]),(ProjectInfoTable[ProjectName]=OutputTable[[#This Row],[ProjectName]])*ProjectInfoTable[NumberOfReplications]))</f>
        <v>5</v>
      </c>
      <c r="K34" s="5">
        <f t="array" ref="K34">IFERROR(AVERAGE(IF((OutputTable[GroupByKey]=OutputTable[[#This Row],[GroupByKey]]),(OutputTable[GroupByKey]=OutputTable[[#This Row],[GroupByKey]])*OutputTable[RecordedValue])),0)</f>
        <v>0</v>
      </c>
      <c r="L34" s="5">
        <f t="array" ref="L34">IFERROR(_xlfn.STDEV.S(IF((OutputTable[GroupByKey]=OutputTable[[#This Row],[GroupByKey]]),(OutputTable[GroupByKey]=OutputTable[[#This Row],[GroupByKey]])*OutputTable[RecordedValue])),0)</f>
        <v>0</v>
      </c>
      <c r="M34" s="5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s="5">
        <f t="array" ref="O34">MIN(IF((OutputTable[GroupByKey]=OutputTable[[#This Row],[GroupByKey]]),(OutputTable[GroupByKey]=OutputTable[[#This Row],[GroupByKey]])*OutputTable[RecordedValue]))</f>
        <v>0</v>
      </c>
      <c r="P34" s="5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35">
      <c r="A35" t="s">
        <v>67</v>
      </c>
      <c r="B35" t="s">
        <v>70</v>
      </c>
      <c r="C35">
        <v>5</v>
      </c>
      <c r="D35" t="s">
        <v>94</v>
      </c>
      <c r="E35" t="s">
        <v>89</v>
      </c>
      <c r="F35" t="s">
        <v>76</v>
      </c>
      <c r="G35">
        <v>0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ProjectVerification Stations.NumberSeizedTotal Number SeizedResource</v>
      </c>
      <c r="J35" s="5">
        <f t="array" ref="J35">MAX(IF((ProjectInfoTable[ProjectName]=OutputTable[[#This Row],[ProjectName]]),(ProjectInfoTable[ProjectName]=OutputTable[[#This Row],[ProjectName]])*ProjectInfoTable[NumberOfReplications]))</f>
        <v>5</v>
      </c>
      <c r="K35" s="5">
        <f t="array" ref="K35">IFERROR(AVERAGE(IF((OutputTable[GroupByKey]=OutputTable[[#This Row],[GroupByKey]]),(OutputTable[GroupByKey]=OutputTable[[#This Row],[GroupByKey]])*OutputTable[RecordedValue])),0)</f>
        <v>0</v>
      </c>
      <c r="L35" s="5">
        <f t="array" ref="L35">IFERROR(_xlfn.STDEV.S(IF((OutputTable[GroupByKey]=OutputTable[[#This Row],[GroupByKey]]),(OutputTable[GroupByKey]=OutputTable[[#This Row],[GroupByKey]])*OutputTable[RecordedValue])),0)</f>
        <v>0</v>
      </c>
      <c r="M35" s="5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" s="5">
        <f t="array" ref="O35">MIN(IF((OutputTable[GroupByKey]=OutputTable[[#This Row],[GroupByKey]]),(OutputTable[GroupByKey]=OutputTable[[#This Row],[GroupByKey]])*OutputTable[RecordedValue]))</f>
        <v>0</v>
      </c>
      <c r="P35" s="5">
        <f t="array" ref="P35">MAX(IF((OutputTable[GroupByKey]=OutputTable[[#This Row],[GroupByKey]]),(OutputTable[GroupByKey]=OutputTable[[#This Row],[GroupByKey]])*OutputTable[RecordedValue]))</f>
        <v>0</v>
      </c>
    </row>
    <row r="36" spans="1:16" x14ac:dyDescent="0.35">
      <c r="A36" t="s">
        <v>67</v>
      </c>
      <c r="B36" t="s">
        <v>70</v>
      </c>
      <c r="C36">
        <v>5</v>
      </c>
      <c r="D36" t="s">
        <v>95</v>
      </c>
      <c r="E36" t="s">
        <v>91</v>
      </c>
      <c r="F36" t="s">
        <v>76</v>
      </c>
      <c r="G36">
        <v>0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ProjectVerification Stations.ScheduledUtilizationScheduled UtilizationResource</v>
      </c>
      <c r="J36" s="5">
        <f t="array" ref="J36">MAX(IF((ProjectInfoTable[ProjectName]=OutputTable[[#This Row],[ProjectName]]),(ProjectInfoTable[ProjectName]=OutputTable[[#This Row],[ProjectName]])*ProjectInfoTable[NumberOfReplications]))</f>
        <v>5</v>
      </c>
      <c r="K36" s="5">
        <f t="array" ref="K36">IFERROR(AVERAGE(IF((OutputTable[GroupByKey]=OutputTable[[#This Row],[GroupByKey]]),(OutputTable[GroupByKey]=OutputTable[[#This Row],[GroupByKey]])*OutputTable[RecordedValue])),0)</f>
        <v>0</v>
      </c>
      <c r="L36" s="5">
        <f t="array" ref="L36">IFERROR(_xlfn.STDEV.S(IF((OutputTable[GroupByKey]=OutputTable[[#This Row],[GroupByKey]]),(OutputTable[GroupByKey]=OutputTable[[#This Row],[GroupByKey]])*OutputTable[RecordedValue])),0)</f>
        <v>0</v>
      </c>
      <c r="M36" s="5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" s="5">
        <f t="array" ref="O36">MIN(IF((OutputTable[GroupByKey]=OutputTable[[#This Row],[GroupByKey]]),(OutputTable[GroupByKey]=OutputTable[[#This Row],[GroupByKey]])*OutputTable[RecordedValue]))</f>
        <v>0</v>
      </c>
      <c r="P36" s="5">
        <f t="array" ref="P36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36">
    <cfRule type="expression" dxfId="3" priority="2">
      <formula>MOD(ROW(),2)=0</formula>
    </cfRule>
  </conditionalFormatting>
  <conditionalFormatting sqref="N2:N3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"/>
  <sheetViews>
    <sheetView workbookViewId="0">
      <selection activeCell="F1" sqref="F1"/>
    </sheetView>
  </sheetViews>
  <sheetFormatPr defaultRowHeight="14.5" x14ac:dyDescent="0.35"/>
  <cols>
    <col min="1" max="1" width="14" customWidth="1"/>
    <col min="2" max="2" width="21.08984375" customWidth="1"/>
    <col min="3" max="3" width="12.36328125" customWidth="1"/>
    <col min="4" max="4" width="8" customWidth="1"/>
    <col min="5" max="5" width="10.54296875" customWidth="1"/>
    <col min="6" max="6" width="8.7265625" customWidth="1"/>
    <col min="7" max="7" width="20.26953125" customWidth="1"/>
    <col min="8" max="8" width="21.08984375" customWidth="1"/>
    <col min="9" max="9" width="23.1796875" customWidth="1"/>
    <col min="10" max="10" width="24.54296875" customWidth="1"/>
    <col min="11" max="11" width="15" customWidth="1"/>
    <col min="12" max="12" width="13.36328125" customWidth="1"/>
    <col min="13" max="13" width="28.36328125" customWidth="1"/>
    <col min="14" max="14" width="29.1796875" customWidth="1"/>
    <col min="15" max="15" width="16.08984375" customWidth="1"/>
    <col min="16" max="16" width="27.08984375" customWidth="1"/>
    <col min="17" max="17" width="28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Administrator</cp:lastModifiedBy>
  <cp:lastPrinted>2022-03-22T10:33:10Z</cp:lastPrinted>
  <dcterms:created xsi:type="dcterms:W3CDTF">2020-06-29T21:30:31Z</dcterms:created>
  <dcterms:modified xsi:type="dcterms:W3CDTF">2026-03-22T20:04:35Z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